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swatsongroup-my.sharepoint.com/personal/jaime_hutallajr_watsons_com_ph/Documents/Desktop/2025/Automated Forms/"/>
    </mc:Choice>
  </mc:AlternateContent>
  <xr:revisionPtr revIDLastSave="1214" documentId="13_ncr:1_{E1F57500-2A4D-4FE7-B8F7-EA509D2C9A14}" xr6:coauthVersionLast="47" xr6:coauthVersionMax="47" xr10:uidLastSave="{68B0B824-A791-4251-BA71-6CC6EC722BA6}"/>
  <bookViews>
    <workbookView xWindow="-120" yWindow="-120" windowWidth="29040" windowHeight="15720" firstSheet="2" activeTab="4" xr2:uid="{4F51CDEE-F0D1-41A7-9688-A41BEDC3F5F1}"/>
  </bookViews>
  <sheets>
    <sheet name="Sheet1" sheetId="1" state="hidden" r:id="rId1"/>
    <sheet name="Sheet3" sheetId="3" state="hidden" r:id="rId2"/>
    <sheet name="List (2)" sheetId="8" r:id="rId3"/>
    <sheet name="List" sheetId="7" r:id="rId4"/>
    <sheet name="RTV  Longer - Location" sheetId="6" r:id="rId5"/>
    <sheet name="RTV  Longer Template" sheetId="4" r:id="rId6"/>
    <sheet name="ICE Near expiry" sheetId="5" r:id="rId7"/>
    <sheet name="Del Failed Template" sheetId="2" r:id="rId8"/>
  </sheets>
  <definedNames>
    <definedName name="_xlnm._FilterDatabase" localSheetId="0" hidden="1">Sheet1!$A$1:$E$21</definedName>
    <definedName name="_xlnm.Print_Area" localSheetId="7">'Del Failed Template'!$B$7:$N$430</definedName>
    <definedName name="_xlnm.Print_Area" localSheetId="3">List!$A$1:$G$34</definedName>
    <definedName name="_xlnm.Print_Area" localSheetId="2">'List (2)'!$A$1:$D$34</definedName>
    <definedName name="_xlnm.Print_Area" localSheetId="4">'RTV  Longer - Location'!$B$5:$N$173</definedName>
    <definedName name="_xlnm.Print_Area" localSheetId="5">'RTV  Longer Template'!$B$6:$N$431</definedName>
    <definedName name="_xlnm.Print_Area" localSheetId="0">Sheet1!$A$1:$F$51</definedName>
    <definedName name="_xlnm.Print_Titles" localSheetId="0">Sheet1!$1:$1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1" i="6" l="1"/>
  <c r="K94" i="6"/>
  <c r="D94" i="6"/>
  <c r="K77" i="6"/>
  <c r="P8" i="6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K11" i="6"/>
  <c r="K145" i="6"/>
  <c r="K162" i="6"/>
  <c r="D162" i="6"/>
  <c r="D128" i="6"/>
  <c r="D111" i="6"/>
  <c r="K128" i="6"/>
  <c r="D145" i="6"/>
  <c r="D9" i="6" l="1"/>
  <c r="D11" i="6"/>
  <c r="D7" i="6"/>
  <c r="D5" i="6" l="1"/>
  <c r="K7" i="6"/>
  <c r="D24" i="6" s="1"/>
  <c r="K96" i="6"/>
  <c r="D113" i="6"/>
  <c r="K113" i="6"/>
  <c r="D130" i="6"/>
  <c r="K130" i="6"/>
  <c r="K147" i="6"/>
  <c r="K164" i="6"/>
  <c r="D147" i="6"/>
  <c r="D164" i="6"/>
  <c r="D96" i="6"/>
  <c r="K79" i="6"/>
  <c r="D79" i="6"/>
  <c r="K62" i="6"/>
  <c r="D62" i="6"/>
  <c r="K45" i="6"/>
  <c r="D45" i="6"/>
  <c r="K28" i="6"/>
  <c r="D28" i="6"/>
  <c r="K60" i="6"/>
  <c r="D77" i="6"/>
  <c r="D60" i="6"/>
  <c r="K43" i="6"/>
  <c r="D43" i="6"/>
  <c r="K26" i="6"/>
  <c r="D26" i="6"/>
  <c r="K9" i="6"/>
  <c r="I5" i="6"/>
  <c r="B22" i="6" s="1"/>
  <c r="I22" i="6" s="1"/>
  <c r="B39" i="6" s="1"/>
  <c r="I39" i="6" s="1"/>
  <c r="B56" i="6" s="1"/>
  <c r="I56" i="6" s="1"/>
  <c r="B73" i="6" s="1"/>
  <c r="I73" i="6" s="1"/>
  <c r="B90" i="6" s="1"/>
  <c r="I90" i="6" s="1"/>
  <c r="B107" i="6" s="1"/>
  <c r="I107" i="6" s="1"/>
  <c r="B124" i="6" s="1"/>
  <c r="I124" i="6" s="1"/>
  <c r="B141" i="6" s="1"/>
  <c r="I141" i="6" s="1"/>
  <c r="B158" i="6" s="1"/>
  <c r="I158" i="6" s="1"/>
  <c r="D9" i="4"/>
  <c r="D11" i="4"/>
  <c r="K11" i="4" s="1"/>
  <c r="D28" i="4" s="1"/>
  <c r="K28" i="4" s="1"/>
  <c r="D45" i="4" s="1"/>
  <c r="K45" i="4" s="1"/>
  <c r="D62" i="4" s="1"/>
  <c r="K62" i="4" s="1"/>
  <c r="D79" i="4" s="1"/>
  <c r="K79" i="4" s="1"/>
  <c r="D96" i="4" s="1"/>
  <c r="K96" i="4" s="1"/>
  <c r="D113" i="4" s="1"/>
  <c r="K113" i="4" s="1"/>
  <c r="D130" i="4" s="1"/>
  <c r="K130" i="4" s="1"/>
  <c r="D147" i="4" s="1"/>
  <c r="K147" i="4" s="1"/>
  <c r="D164" i="4" s="1"/>
  <c r="K164" i="4" s="1"/>
  <c r="D181" i="4" s="1"/>
  <c r="K181" i="4" s="1"/>
  <c r="D198" i="4" s="1"/>
  <c r="K198" i="4" s="1"/>
  <c r="D215" i="4" s="1"/>
  <c r="K215" i="4" s="1"/>
  <c r="D232" i="4" s="1"/>
  <c r="K232" i="4" s="1"/>
  <c r="D249" i="4" s="1"/>
  <c r="K249" i="4" s="1"/>
  <c r="D266" i="4" s="1"/>
  <c r="K266" i="4" s="1"/>
  <c r="D283" i="4" s="1"/>
  <c r="K283" i="4" s="1"/>
  <c r="D300" i="4" s="1"/>
  <c r="K300" i="4" s="1"/>
  <c r="D317" i="4" s="1"/>
  <c r="K317" i="4" s="1"/>
  <c r="D334" i="4" s="1"/>
  <c r="K334" i="4" s="1"/>
  <c r="D351" i="4" s="1"/>
  <c r="K351" i="4" s="1"/>
  <c r="D368" i="4" s="1"/>
  <c r="K368" i="4" s="1"/>
  <c r="D385" i="4" s="1"/>
  <c r="K385" i="4" s="1"/>
  <c r="D402" i="4" s="1"/>
  <c r="K402" i="4" s="1"/>
  <c r="D419" i="4" s="1"/>
  <c r="K419" i="4" s="1"/>
  <c r="T2" i="4"/>
  <c r="S2" i="4"/>
  <c r="D9" i="2"/>
  <c r="K9" i="2" s="1"/>
  <c r="D26" i="2" s="1"/>
  <c r="D11" i="2"/>
  <c r="K11" i="2" s="1"/>
  <c r="D28" i="2" s="1"/>
  <c r="K28" i="2" s="1"/>
  <c r="T2" i="2"/>
  <c r="S2" i="2"/>
  <c r="U2" i="2" s="1"/>
  <c r="K5" i="6" l="1"/>
  <c r="B14" i="6"/>
  <c r="U2" i="4"/>
  <c r="D7" i="4" s="1"/>
  <c r="K7" i="4" s="1"/>
  <c r="D24" i="4" s="1"/>
  <c r="K24" i="4" s="1"/>
  <c r="D41" i="4" s="1"/>
  <c r="K41" i="4" s="1"/>
  <c r="D58" i="4" s="1"/>
  <c r="K58" i="4" s="1"/>
  <c r="D75" i="4" s="1"/>
  <c r="K75" i="4" s="1"/>
  <c r="D92" i="4" s="1"/>
  <c r="K92" i="4" s="1"/>
  <c r="D109" i="4" s="1"/>
  <c r="K109" i="4" s="1"/>
  <c r="D126" i="4" s="1"/>
  <c r="K126" i="4" s="1"/>
  <c r="D143" i="4" s="1"/>
  <c r="K143" i="4" s="1"/>
  <c r="D160" i="4" s="1"/>
  <c r="K160" i="4" s="1"/>
  <c r="D177" i="4" s="1"/>
  <c r="K177" i="4" s="1"/>
  <c r="D194" i="4" s="1"/>
  <c r="K194" i="4" s="1"/>
  <c r="D211" i="4" s="1"/>
  <c r="K211" i="4" s="1"/>
  <c r="D228" i="4" s="1"/>
  <c r="K228" i="4" s="1"/>
  <c r="D245" i="4" s="1"/>
  <c r="K245" i="4" s="1"/>
  <c r="D262" i="4" s="1"/>
  <c r="K262" i="4" s="1"/>
  <c r="D279" i="4" s="1"/>
  <c r="K279" i="4" s="1"/>
  <c r="D296" i="4" s="1"/>
  <c r="K296" i="4" s="1"/>
  <c r="D313" i="4" s="1"/>
  <c r="K313" i="4" s="1"/>
  <c r="D330" i="4" s="1"/>
  <c r="K330" i="4" s="1"/>
  <c r="D347" i="4" s="1"/>
  <c r="K347" i="4" s="1"/>
  <c r="D364" i="4" s="1"/>
  <c r="K364" i="4" s="1"/>
  <c r="D381" i="4" s="1"/>
  <c r="K381" i="4" s="1"/>
  <c r="D398" i="4" s="1"/>
  <c r="K398" i="4" s="1"/>
  <c r="D415" i="4" s="1"/>
  <c r="K415" i="4" s="1"/>
  <c r="K24" i="6"/>
  <c r="B16" i="4"/>
  <c r="D13" i="4" s="1"/>
  <c r="K9" i="4"/>
  <c r="D7" i="2"/>
  <c r="K7" i="2" s="1"/>
  <c r="D24" i="2" s="1"/>
  <c r="K24" i="2" s="1"/>
  <c r="D41" i="2" s="1"/>
  <c r="K41" i="2" s="1"/>
  <c r="D58" i="2" s="1"/>
  <c r="K58" i="2" s="1"/>
  <c r="D75" i="2" s="1"/>
  <c r="K75" i="2" s="1"/>
  <c r="D92" i="2" s="1"/>
  <c r="K92" i="2" s="1"/>
  <c r="D109" i="2" s="1"/>
  <c r="K26" i="2"/>
  <c r="D43" i="2" s="1"/>
  <c r="K43" i="2" s="1"/>
  <c r="D60" i="2" s="1"/>
  <c r="K60" i="2" s="1"/>
  <c r="D77" i="2" s="1"/>
  <c r="D45" i="2"/>
  <c r="D22" i="6" l="1"/>
  <c r="K22" i="6" s="1"/>
  <c r="D39" i="6" s="1"/>
  <c r="K39" i="6" s="1"/>
  <c r="D56" i="6" s="1"/>
  <c r="K56" i="6" s="1"/>
  <c r="D73" i="6" s="1"/>
  <c r="K73" i="6" s="1"/>
  <c r="D90" i="6" s="1"/>
  <c r="K90" i="6" s="1"/>
  <c r="D107" i="6" s="1"/>
  <c r="K107" i="6" s="1"/>
  <c r="D124" i="6" s="1"/>
  <c r="K124" i="6" s="1"/>
  <c r="D141" i="6" s="1"/>
  <c r="K141" i="6" s="1"/>
  <c r="D158" i="6" s="1"/>
  <c r="K158" i="6" s="1"/>
  <c r="I14" i="6"/>
  <c r="B31" i="6"/>
  <c r="D41" i="6"/>
  <c r="I31" i="6"/>
  <c r="D26" i="4"/>
  <c r="I16" i="4"/>
  <c r="K13" i="4" s="1"/>
  <c r="B16" i="2"/>
  <c r="D13" i="2" s="1"/>
  <c r="I16" i="2"/>
  <c r="K13" i="2" s="1"/>
  <c r="B33" i="2"/>
  <c r="D30" i="2" s="1"/>
  <c r="B50" i="2"/>
  <c r="D47" i="2" s="1"/>
  <c r="K77" i="2"/>
  <c r="K45" i="2"/>
  <c r="D62" i="2" s="1"/>
  <c r="K109" i="2"/>
  <c r="I33" i="2"/>
  <c r="K30" i="2" s="1"/>
  <c r="K41" i="6" l="1"/>
  <c r="B48" i="6"/>
  <c r="B33" i="4"/>
  <c r="D30" i="4" s="1"/>
  <c r="K26" i="4"/>
  <c r="I50" i="2"/>
  <c r="K47" i="2" s="1"/>
  <c r="D126" i="2"/>
  <c r="K126" i="2" s="1"/>
  <c r="D143" i="2" s="1"/>
  <c r="K143" i="2" s="1"/>
  <c r="D160" i="2" s="1"/>
  <c r="K160" i="2" s="1"/>
  <c r="D177" i="2" s="1"/>
  <c r="K177" i="2" s="1"/>
  <c r="D194" i="2" s="1"/>
  <c r="B67" i="2"/>
  <c r="D64" i="2" s="1"/>
  <c r="K62" i="2"/>
  <c r="D94" i="2"/>
  <c r="I48" i="6" l="1"/>
  <c r="D58" i="6"/>
  <c r="D43" i="4"/>
  <c r="I33" i="4"/>
  <c r="K30" i="4" s="1"/>
  <c r="K94" i="2"/>
  <c r="D79" i="2"/>
  <c r="I67" i="2"/>
  <c r="K64" i="2" s="1"/>
  <c r="K194" i="2"/>
  <c r="D211" i="2" s="1"/>
  <c r="K211" i="2" s="1"/>
  <c r="D228" i="2" s="1"/>
  <c r="K228" i="2" s="1"/>
  <c r="D245" i="2" s="1"/>
  <c r="K245" i="2" s="1"/>
  <c r="D262" i="2" s="1"/>
  <c r="K262" i="2" s="1"/>
  <c r="D279" i="2" s="1"/>
  <c r="K279" i="2" s="1"/>
  <c r="D296" i="2" s="1"/>
  <c r="K296" i="2" s="1"/>
  <c r="D313" i="2" s="1"/>
  <c r="K313" i="2" s="1"/>
  <c r="D330" i="2" s="1"/>
  <c r="K330" i="2" s="1"/>
  <c r="D347" i="2" s="1"/>
  <c r="K347" i="2" s="1"/>
  <c r="D364" i="2" s="1"/>
  <c r="K58" i="6" l="1"/>
  <c r="B65" i="6"/>
  <c r="B50" i="4"/>
  <c r="D47" i="4" s="1"/>
  <c r="K43" i="4"/>
  <c r="K364" i="2"/>
  <c r="K79" i="2"/>
  <c r="B84" i="2"/>
  <c r="D81" i="2" s="1"/>
  <c r="D111" i="2"/>
  <c r="D75" i="6" l="1"/>
  <c r="I65" i="6"/>
  <c r="D60" i="4"/>
  <c r="I50" i="4"/>
  <c r="K47" i="4" s="1"/>
  <c r="K111" i="2"/>
  <c r="D96" i="2"/>
  <c r="I84" i="2"/>
  <c r="K81" i="2" s="1"/>
  <c r="D381" i="2"/>
  <c r="K75" i="6" l="1"/>
  <c r="B82" i="6"/>
  <c r="B67" i="4"/>
  <c r="D64" i="4" s="1"/>
  <c r="K60" i="4"/>
  <c r="K381" i="2"/>
  <c r="K96" i="2"/>
  <c r="B101" i="2"/>
  <c r="D98" i="2" s="1"/>
  <c r="D128" i="2"/>
  <c r="I82" i="6" l="1"/>
  <c r="D92" i="6"/>
  <c r="D77" i="4"/>
  <c r="I67" i="4"/>
  <c r="K64" i="4" s="1"/>
  <c r="K128" i="2"/>
  <c r="D113" i="2"/>
  <c r="I101" i="2"/>
  <c r="K98" i="2" s="1"/>
  <c r="D398" i="2"/>
  <c r="K398" i="2" s="1"/>
  <c r="D415" i="2" s="1"/>
  <c r="D22" i="1"/>
  <c r="E22" i="1"/>
  <c r="D23" i="1"/>
  <c r="E23" i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/>
  <c r="D30" i="1"/>
  <c r="E30" i="1" s="1"/>
  <c r="D31" i="1"/>
  <c r="E31" i="1" s="1"/>
  <c r="D32" i="1"/>
  <c r="E32" i="1"/>
  <c r="D33" i="1"/>
  <c r="E33" i="1" s="1"/>
  <c r="D34" i="1"/>
  <c r="E34" i="1" s="1"/>
  <c r="D35" i="1"/>
  <c r="E35" i="1"/>
  <c r="D36" i="1"/>
  <c r="E36" i="1" s="1"/>
  <c r="D37" i="1"/>
  <c r="E37" i="1" s="1"/>
  <c r="D38" i="1"/>
  <c r="E38" i="1"/>
  <c r="D39" i="1"/>
  <c r="E39" i="1" s="1"/>
  <c r="D40" i="1"/>
  <c r="E40" i="1"/>
  <c r="D41" i="1"/>
  <c r="E41" i="1" s="1"/>
  <c r="D42" i="1"/>
  <c r="E42" i="1"/>
  <c r="D43" i="1"/>
  <c r="E43" i="1" s="1"/>
  <c r="D44" i="1"/>
  <c r="E44" i="1"/>
  <c r="D45" i="1"/>
  <c r="E45" i="1" s="1"/>
  <c r="D46" i="1"/>
  <c r="E46" i="1"/>
  <c r="D47" i="1"/>
  <c r="E47" i="1"/>
  <c r="D48" i="1"/>
  <c r="E48" i="1" s="1"/>
  <c r="D49" i="1"/>
  <c r="E49" i="1" s="1"/>
  <c r="D50" i="1"/>
  <c r="E50" i="1"/>
  <c r="D51" i="1"/>
  <c r="E51" i="1" s="1"/>
  <c r="C3" i="1"/>
  <c r="D3" i="1" s="1"/>
  <c r="D2" i="1"/>
  <c r="K92" i="6" l="1"/>
  <c r="B99" i="6"/>
  <c r="B84" i="4"/>
  <c r="D81" i="4" s="1"/>
  <c r="K77" i="4"/>
  <c r="K415" i="2"/>
  <c r="K113" i="2"/>
  <c r="B118" i="2"/>
  <c r="D115" i="2" s="1"/>
  <c r="D145" i="2"/>
  <c r="I99" i="6" l="1"/>
  <c r="D109" i="6"/>
  <c r="D94" i="4"/>
  <c r="I84" i="4"/>
  <c r="K81" i="4" s="1"/>
  <c r="K145" i="2"/>
  <c r="D130" i="2"/>
  <c r="I118" i="2"/>
  <c r="K115" i="2" s="1"/>
  <c r="K109" i="6" l="1"/>
  <c r="B116" i="6"/>
  <c r="B101" i="4"/>
  <c r="D98" i="4" s="1"/>
  <c r="K94" i="4"/>
  <c r="K130" i="2"/>
  <c r="B135" i="2"/>
  <c r="D132" i="2" s="1"/>
  <c r="D162" i="2"/>
  <c r="I116" i="6" l="1"/>
  <c r="D126" i="6"/>
  <c r="D111" i="4"/>
  <c r="I101" i="4"/>
  <c r="K98" i="4" s="1"/>
  <c r="K162" i="2"/>
  <c r="D147" i="2"/>
  <c r="I135" i="2"/>
  <c r="K132" i="2" s="1"/>
  <c r="K126" i="6" l="1"/>
  <c r="B133" i="6"/>
  <c r="B118" i="4"/>
  <c r="D115" i="4" s="1"/>
  <c r="K111" i="4"/>
  <c r="K147" i="2"/>
  <c r="B152" i="2"/>
  <c r="D149" i="2" s="1"/>
  <c r="D179" i="2"/>
  <c r="I133" i="6" l="1"/>
  <c r="D143" i="6"/>
  <c r="D128" i="4"/>
  <c r="I118" i="4"/>
  <c r="K115" i="4" s="1"/>
  <c r="K179" i="2"/>
  <c r="D164" i="2"/>
  <c r="I152" i="2"/>
  <c r="K149" i="2" s="1"/>
  <c r="B150" i="6" l="1"/>
  <c r="K143" i="6"/>
  <c r="B135" i="4"/>
  <c r="D132" i="4" s="1"/>
  <c r="K128" i="4"/>
  <c r="K164" i="2"/>
  <c r="B169" i="2"/>
  <c r="D166" i="2" s="1"/>
  <c r="D196" i="2"/>
  <c r="E3" i="1"/>
  <c r="E2" i="1"/>
  <c r="C4" i="1"/>
  <c r="I150" i="6" l="1"/>
  <c r="D160" i="6"/>
  <c r="D145" i="4"/>
  <c r="I135" i="4"/>
  <c r="K132" i="4" s="1"/>
  <c r="K196" i="2"/>
  <c r="D181" i="2"/>
  <c r="I169" i="2"/>
  <c r="K166" i="2" s="1"/>
  <c r="C5" i="1"/>
  <c r="D4" i="1"/>
  <c r="E4" i="1" s="1"/>
  <c r="K160" i="6" l="1"/>
  <c r="I167" i="6" s="1"/>
  <c r="B167" i="6"/>
  <c r="B152" i="4"/>
  <c r="D149" i="4" s="1"/>
  <c r="K145" i="4"/>
  <c r="K181" i="2"/>
  <c r="B186" i="2"/>
  <c r="D183" i="2" s="1"/>
  <c r="D213" i="2"/>
  <c r="C6" i="1"/>
  <c r="D5" i="1"/>
  <c r="E5" i="1" s="1"/>
  <c r="D162" i="4" l="1"/>
  <c r="I152" i="4"/>
  <c r="K149" i="4" s="1"/>
  <c r="K213" i="2"/>
  <c r="D198" i="2"/>
  <c r="I186" i="2"/>
  <c r="K183" i="2" s="1"/>
  <c r="C7" i="1"/>
  <c r="D6" i="1"/>
  <c r="E6" i="1" s="1"/>
  <c r="B169" i="4" l="1"/>
  <c r="D166" i="4" s="1"/>
  <c r="K162" i="4"/>
  <c r="D230" i="2"/>
  <c r="K198" i="2"/>
  <c r="B203" i="2"/>
  <c r="D200" i="2" s="1"/>
  <c r="C8" i="1"/>
  <c r="D7" i="1"/>
  <c r="E7" i="1" s="1"/>
  <c r="D179" i="4" l="1"/>
  <c r="I169" i="4"/>
  <c r="K166" i="4" s="1"/>
  <c r="D215" i="2"/>
  <c r="I203" i="2"/>
  <c r="K200" i="2" s="1"/>
  <c r="K230" i="2"/>
  <c r="C9" i="1"/>
  <c r="D8" i="1"/>
  <c r="E8" i="1" s="1"/>
  <c r="B186" i="4" l="1"/>
  <c r="D183" i="4" s="1"/>
  <c r="K179" i="4"/>
  <c r="D247" i="2"/>
  <c r="K247" i="2" s="1"/>
  <c r="D264" i="2" s="1"/>
  <c r="K264" i="2" s="1"/>
  <c r="D281" i="2" s="1"/>
  <c r="K281" i="2" s="1"/>
  <c r="D298" i="2" s="1"/>
  <c r="K215" i="2"/>
  <c r="B220" i="2"/>
  <c r="D217" i="2" s="1"/>
  <c r="C10" i="1"/>
  <c r="D9" i="1"/>
  <c r="E9" i="1" s="1"/>
  <c r="D196" i="4" l="1"/>
  <c r="I186" i="4"/>
  <c r="K183" i="4" s="1"/>
  <c r="D232" i="2"/>
  <c r="I220" i="2"/>
  <c r="K217" i="2" s="1"/>
  <c r="K298" i="2"/>
  <c r="C11" i="1"/>
  <c r="D10" i="1"/>
  <c r="E10" i="1" s="1"/>
  <c r="B203" i="4" l="1"/>
  <c r="D200" i="4" s="1"/>
  <c r="K196" i="4"/>
  <c r="D315" i="2"/>
  <c r="K315" i="2" s="1"/>
  <c r="D332" i="2" s="1"/>
  <c r="K332" i="2" s="1"/>
  <c r="K232" i="2"/>
  <c r="B237" i="2"/>
  <c r="D234" i="2" s="1"/>
  <c r="C12" i="1"/>
  <c r="D11" i="1"/>
  <c r="E11" i="1" s="1"/>
  <c r="D213" i="4" l="1"/>
  <c r="I203" i="4"/>
  <c r="K200" i="4" s="1"/>
  <c r="D249" i="2"/>
  <c r="I237" i="2"/>
  <c r="K234" i="2" s="1"/>
  <c r="D349" i="2"/>
  <c r="C13" i="1"/>
  <c r="D12" i="1"/>
  <c r="E12" i="1" s="1"/>
  <c r="B220" i="4" l="1"/>
  <c r="D217" i="4" s="1"/>
  <c r="K213" i="4"/>
  <c r="K349" i="2"/>
  <c r="B254" i="2"/>
  <c r="D251" i="2" s="1"/>
  <c r="K249" i="2"/>
  <c r="C14" i="1"/>
  <c r="D13" i="1"/>
  <c r="E13" i="1" s="1"/>
  <c r="D230" i="4" l="1"/>
  <c r="I220" i="4"/>
  <c r="K217" i="4" s="1"/>
  <c r="I254" i="2"/>
  <c r="K251" i="2" s="1"/>
  <c r="D266" i="2"/>
  <c r="D366" i="2"/>
  <c r="C15" i="1"/>
  <c r="D14" i="1"/>
  <c r="E14" i="1" s="1"/>
  <c r="B237" i="4" l="1"/>
  <c r="D234" i="4" s="1"/>
  <c r="K230" i="4"/>
  <c r="K366" i="2"/>
  <c r="B271" i="2"/>
  <c r="D268" i="2" s="1"/>
  <c r="K266" i="2"/>
  <c r="C16" i="1"/>
  <c r="D15" i="1"/>
  <c r="E15" i="1" s="1"/>
  <c r="D247" i="4" l="1"/>
  <c r="I237" i="4"/>
  <c r="K234" i="4" s="1"/>
  <c r="I271" i="2"/>
  <c r="K268" i="2" s="1"/>
  <c r="D283" i="2"/>
  <c r="D383" i="2"/>
  <c r="C17" i="1"/>
  <c r="D16" i="1"/>
  <c r="E16" i="1" s="1"/>
  <c r="B254" i="4" l="1"/>
  <c r="D251" i="4" s="1"/>
  <c r="K247" i="4"/>
  <c r="K383" i="2"/>
  <c r="B288" i="2"/>
  <c r="D285" i="2" s="1"/>
  <c r="K283" i="2"/>
  <c r="C18" i="1"/>
  <c r="D17" i="1"/>
  <c r="E17" i="1" s="1"/>
  <c r="D264" i="4" l="1"/>
  <c r="I254" i="4"/>
  <c r="K251" i="4" s="1"/>
  <c r="I288" i="2"/>
  <c r="K285" i="2" s="1"/>
  <c r="D300" i="2"/>
  <c r="D400" i="2"/>
  <c r="K400" i="2" s="1"/>
  <c r="D417" i="2" s="1"/>
  <c r="C19" i="1"/>
  <c r="D18" i="1"/>
  <c r="E18" i="1" s="1"/>
  <c r="B271" i="4" l="1"/>
  <c r="D268" i="4" s="1"/>
  <c r="K264" i="4"/>
  <c r="K417" i="2"/>
  <c r="K300" i="2"/>
  <c r="B305" i="2"/>
  <c r="D302" i="2" s="1"/>
  <c r="C20" i="1"/>
  <c r="D19" i="1"/>
  <c r="E19" i="1" s="1"/>
  <c r="D281" i="4" l="1"/>
  <c r="I271" i="4"/>
  <c r="K268" i="4" s="1"/>
  <c r="D317" i="2"/>
  <c r="I305" i="2"/>
  <c r="K302" i="2" s="1"/>
  <c r="C21" i="1"/>
  <c r="D20" i="1"/>
  <c r="E20" i="1" s="1"/>
  <c r="B288" i="4" l="1"/>
  <c r="D285" i="4" s="1"/>
  <c r="K281" i="4"/>
  <c r="B322" i="2"/>
  <c r="D319" i="2" s="1"/>
  <c r="K317" i="2"/>
  <c r="D21" i="1"/>
  <c r="E21" i="1" s="1"/>
  <c r="C22" i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D298" i="4" l="1"/>
  <c r="I288" i="4"/>
  <c r="K285" i="4" s="1"/>
  <c r="I322" i="2"/>
  <c r="K319" i="2" s="1"/>
  <c r="D334" i="2"/>
  <c r="B305" i="4" l="1"/>
  <c r="D302" i="4" s="1"/>
  <c r="K298" i="4"/>
  <c r="B339" i="2"/>
  <c r="D336" i="2" s="1"/>
  <c r="K334" i="2"/>
  <c r="D315" i="4" l="1"/>
  <c r="I305" i="4"/>
  <c r="K302" i="4" s="1"/>
  <c r="D351" i="2"/>
  <c r="I339" i="2"/>
  <c r="K336" i="2" s="1"/>
  <c r="B322" i="4" l="1"/>
  <c r="D319" i="4" s="1"/>
  <c r="K315" i="4"/>
  <c r="K351" i="2"/>
  <c r="B356" i="2"/>
  <c r="D353" i="2" s="1"/>
  <c r="D332" i="4" l="1"/>
  <c r="I322" i="4"/>
  <c r="K319" i="4" s="1"/>
  <c r="D368" i="2"/>
  <c r="I356" i="2"/>
  <c r="K353" i="2" s="1"/>
  <c r="B339" i="4" l="1"/>
  <c r="D336" i="4" s="1"/>
  <c r="K332" i="4"/>
  <c r="K368" i="2"/>
  <c r="B373" i="2"/>
  <c r="D370" i="2" s="1"/>
  <c r="D349" i="4" l="1"/>
  <c r="I339" i="4"/>
  <c r="K336" i="4" s="1"/>
  <c r="D385" i="2"/>
  <c r="I373" i="2"/>
  <c r="K370" i="2" s="1"/>
  <c r="B356" i="4" l="1"/>
  <c r="D353" i="4" s="1"/>
  <c r="K349" i="4"/>
  <c r="K385" i="2"/>
  <c r="B390" i="2"/>
  <c r="D387" i="2" s="1"/>
  <c r="D366" i="4" l="1"/>
  <c r="I356" i="4"/>
  <c r="K353" i="4" s="1"/>
  <c r="D402" i="2"/>
  <c r="I390" i="2"/>
  <c r="K387" i="2" s="1"/>
  <c r="B373" i="4" l="1"/>
  <c r="D370" i="4" s="1"/>
  <c r="K366" i="4"/>
  <c r="B407" i="2"/>
  <c r="D404" i="2" s="1"/>
  <c r="K402" i="2"/>
  <c r="D383" i="4" l="1"/>
  <c r="I373" i="4"/>
  <c r="K370" i="4" s="1"/>
  <c r="I407" i="2"/>
  <c r="K404" i="2" s="1"/>
  <c r="D419" i="2"/>
  <c r="B390" i="4" l="1"/>
  <c r="D387" i="4" s="1"/>
  <c r="K383" i="4"/>
  <c r="K419" i="2"/>
  <c r="B424" i="2"/>
  <c r="D421" i="2" s="1"/>
  <c r="D400" i="4" l="1"/>
  <c r="I390" i="4"/>
  <c r="K387" i="4" s="1"/>
  <c r="I424" i="2"/>
  <c r="K421" i="2" s="1"/>
  <c r="B407" i="4" l="1"/>
  <c r="D404" i="4" s="1"/>
  <c r="K400" i="4"/>
  <c r="D417" i="4" l="1"/>
  <c r="I407" i="4"/>
  <c r="K404" i="4" s="1"/>
  <c r="B424" i="4" l="1"/>
  <c r="D421" i="4" s="1"/>
  <c r="K417" i="4"/>
  <c r="I424" i="4" s="1"/>
  <c r="K421" i="4" s="1"/>
</calcChain>
</file>

<file path=xl/sharedStrings.xml><?xml version="1.0" encoding="utf-8"?>
<sst xmlns="http://schemas.openxmlformats.org/spreadsheetml/2006/main" count="842" uniqueCount="91">
  <si>
    <t>DATE</t>
  </si>
  <si>
    <t>TAG</t>
  </si>
  <si>
    <t>BOX NO.</t>
  </si>
  <si>
    <t>CONCAT</t>
  </si>
  <si>
    <t>BARCODE</t>
  </si>
  <si>
    <t>SCAN BY</t>
  </si>
  <si>
    <t>11/28</t>
  </si>
  <si>
    <t>GS</t>
  </si>
  <si>
    <t>SKU</t>
  </si>
  <si>
    <t>QTY</t>
  </si>
  <si>
    <t>STATUS</t>
  </si>
  <si>
    <t>For Adj</t>
  </si>
  <si>
    <t>Replen</t>
  </si>
  <si>
    <t>MONTH</t>
  </si>
  <si>
    <t>DAY</t>
  </si>
  <si>
    <t>M+D</t>
  </si>
  <si>
    <t>DATE:</t>
  </si>
  <si>
    <t>BOX NO:            From</t>
  </si>
  <si>
    <t xml:space="preserve">                               To</t>
  </si>
  <si>
    <t>STATUS:</t>
  </si>
  <si>
    <t>RTV</t>
  </si>
  <si>
    <t>Status:</t>
  </si>
  <si>
    <t>Good Stocks</t>
  </si>
  <si>
    <t>DG</t>
  </si>
  <si>
    <t>Damaged</t>
  </si>
  <si>
    <t>I - STATUS</t>
  </si>
  <si>
    <t>DS</t>
  </si>
  <si>
    <t>Disposal</t>
  </si>
  <si>
    <t>Box No.</t>
  </si>
  <si>
    <t>SCAN HERE &gt;&gt;</t>
  </si>
  <si>
    <t>LABEL:</t>
  </si>
  <si>
    <t>LDR</t>
  </si>
  <si>
    <t>Longer Damage RTV</t>
  </si>
  <si>
    <t>ICE-Demand Dispo</t>
  </si>
  <si>
    <t>ICE</t>
  </si>
  <si>
    <t>PASTE HERE</t>
  </si>
  <si>
    <t>PALLET</t>
  </si>
  <si>
    <t>PALLET:</t>
  </si>
  <si>
    <t>END HERE &gt;&gt;&gt;&gt;&gt;&gt;&gt;&gt;&gt;</t>
  </si>
  <si>
    <t>START HERE &gt;&gt;&gt;&gt;&gt;&gt;&gt;&gt;&gt;</t>
  </si>
  <si>
    <t>No.</t>
  </si>
  <si>
    <t>BOX NUMBER</t>
  </si>
  <si>
    <t>SBD</t>
  </si>
  <si>
    <t>INV</t>
  </si>
  <si>
    <t>NON- Shringkage</t>
  </si>
  <si>
    <t>ROLLCAGE</t>
  </si>
  <si>
    <t>RC #</t>
  </si>
  <si>
    <t>NON-RETURNABLE</t>
  </si>
  <si>
    <t xml:space="preserve">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</si>
  <si>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</si>
  <si>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</si>
  <si>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</si>
  <si>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</si>
  <si>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</si>
  <si>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</si>
  <si>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</si>
  <si>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</si>
  <si>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</si>
  <si>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</si>
  <si>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</si>
  <si>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</si>
  <si>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</si>
  <si>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</si>
  <si>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</si>
  <si>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</si>
  <si>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</si>
  <si>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</si>
  <si>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</si>
  <si>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</si>
  <si>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RC</t>
  </si>
  <si>
    <t>LDR-01-P7</t>
  </si>
  <si>
    <t>LDR-12-P6</t>
  </si>
  <si>
    <t>LDR-13-P6</t>
  </si>
  <si>
    <t>LDR-14-P6</t>
  </si>
  <si>
    <t>LDR-15-P6</t>
  </si>
  <si>
    <t>LDR-16-P6</t>
  </si>
  <si>
    <t>LDR-17-P6</t>
  </si>
  <si>
    <t>LDR-18-P6</t>
  </si>
  <si>
    <t>LDR-19-P6</t>
  </si>
  <si>
    <t>LDR-20-P6</t>
  </si>
  <si>
    <t>P7</t>
  </si>
  <si>
    <t>LDR-02-P7</t>
  </si>
  <si>
    <t>LDR-03-P7</t>
  </si>
  <si>
    <t>LDR-04-P7</t>
  </si>
  <si>
    <t>LDR-05-P7</t>
  </si>
  <si>
    <t>LDR-06-P7</t>
  </si>
  <si>
    <t>LDR-07-P7</t>
  </si>
  <si>
    <t>LDR-08-P7</t>
  </si>
  <si>
    <t>LDR-09-P7</t>
  </si>
  <si>
    <t>LDR-10-P7</t>
  </si>
  <si>
    <t>LDR-11-P7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</si>
</sst>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Free 3 of 9"/>
      <family val="3"/>
    </font>
    <font>
      <sz val="22"/>
      <color theme="1"/>
      <name val="Free 3 of 9"/>
      <family val="3"/>
    </font>
    <font>
      <sz val="26"/>
      <color theme="1"/>
      <name val="Free 3 of 9"/>
      <family val="3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43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24"/>
      <color theme="1"/>
      <name val="Free 3 of 9"/>
      <family val="3"/>
    </font>
    <font>
      <b/>
      <sz val="8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5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10" fillId="2" borderId="1" xfId="0" applyFont="1" applyFill="1" applyBorder="1" applyAlignment="1">
      <alignment horizontal="left"/>
    </xf>
    <xf numFmtId="15" fontId="5" fillId="0" borderId="1" xfId="0" quotePrefix="1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0" fillId="2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0" fillId="0" borderId="10" xfId="0" applyBorder="1"/>
    <xf numFmtId="0" fontId="1" fillId="0" borderId="9" xfId="0" applyFont="1" applyBorder="1" applyAlignment="1">
      <alignment horizontal="right"/>
    </xf>
    <xf numFmtId="0" fontId="1" fillId="0" borderId="9" xfId="0" quotePrefix="1" applyFont="1" applyBorder="1" applyAlignment="1">
      <alignment horizontal="right"/>
    </xf>
    <xf numFmtId="0" fontId="0" fillId="0" borderId="0" xfId="0" applyAlignment="1">
      <alignment horizontal="right"/>
    </xf>
    <xf numFmtId="16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0" fontId="0" fillId="0" borderId="10" xfId="0" applyBorder="1" applyAlignment="1">
      <alignment horizontal="right"/>
    </xf>
    <xf numFmtId="15" fontId="5" fillId="3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14" xfId="0" applyFont="1" applyBorder="1" applyAlignment="1">
      <alignment horizontal="center"/>
    </xf>
    <xf numFmtId="0" fontId="12" fillId="3" borderId="14" xfId="0" applyFont="1" applyFill="1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5" fillId="0" borderId="0" xfId="0" quotePrefix="1" applyFont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0" fillId="0" borderId="0" xfId="0" quotePrefix="1" applyNumberFormat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5" fontId="7" fillId="0" borderId="4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9933-12B2-4924-AF4C-A36051F44DF2}">
  <dimension ref="A1:F51"/>
  <sheetViews>
    <sheetView zoomScale="205" zoomScaleNormal="205" workbookViewId="0">
      <selection activeCell="F2" sqref="F2"/>
    </sheetView>
  </sheetViews>
  <sheetFormatPr defaultRowHeight="12.75" x14ac:dyDescent="0.2"/>
  <cols>
    <col min="1" max="1" width="10.1640625" style="1" bestFit="1" customWidth="1"/>
    <col min="2" max="3" width="9.33203125" style="2"/>
    <col min="4" max="4" width="12.83203125" style="2" customWidth="1"/>
    <col min="5" max="5" width="38.33203125" style="5" customWidth="1"/>
    <col min="6" max="6" width="15.83203125" customWidth="1"/>
  </cols>
  <sheetData>
    <row r="1" spans="1:6" s="4" customFormat="1" ht="11.25" x14ac:dyDescent="0.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s="6" customFormat="1" ht="39.950000000000003" customHeight="1" x14ac:dyDescent="0.2">
      <c r="A2" s="9" t="s">
        <v>6</v>
      </c>
      <c r="B2" s="10" t="s">
        <v>7</v>
      </c>
      <c r="C2" s="10">
        <v>151</v>
      </c>
      <c r="D2" s="10" t="str">
        <f>_xlfn.CONCAT(B2,"-",C2,"-",A2)</f>
        <v>GS-151-11/28</v>
      </c>
      <c r="E2" s="11" t="str">
        <f>_xlfn.CONCAT("*",D2,"*")</f>
        <v>*GS-151-11/28*</v>
      </c>
      <c r="F2" s="11"/>
    </row>
    <row r="3" spans="1:6" s="6" customFormat="1" ht="39.950000000000003" customHeight="1" x14ac:dyDescent="0.2">
      <c r="A3" s="9" t="s">
        <v>6</v>
      </c>
      <c r="B3" s="10" t="s">
        <v>7</v>
      </c>
      <c r="C3" s="10">
        <f>+C2+1</f>
        <v>152</v>
      </c>
      <c r="D3" s="10" t="str">
        <f t="shared" ref="D3:D21" si="0">_xlfn.CONCAT(B3,"-",C3,"-",A3)</f>
        <v>GS-152-11/28</v>
      </c>
      <c r="E3" s="11" t="str">
        <f t="shared" ref="E3:E51" si="1">_xlfn.CONCAT("*",D3,"*")</f>
        <v>*GS-152-11/28*</v>
      </c>
      <c r="F3" s="11"/>
    </row>
    <row r="4" spans="1:6" s="6" customFormat="1" ht="39.950000000000003" customHeight="1" x14ac:dyDescent="0.2">
      <c r="A4" s="9" t="s">
        <v>6</v>
      </c>
      <c r="B4" s="10" t="s">
        <v>7</v>
      </c>
      <c r="C4" s="10">
        <f>+C3+1</f>
        <v>153</v>
      </c>
      <c r="D4" s="10" t="str">
        <f t="shared" si="0"/>
        <v>GS-153-11/28</v>
      </c>
      <c r="E4" s="11" t="str">
        <f t="shared" si="1"/>
        <v>*GS-153-11/28*</v>
      </c>
      <c r="F4" s="11"/>
    </row>
    <row r="5" spans="1:6" s="6" customFormat="1" ht="39.950000000000003" customHeight="1" x14ac:dyDescent="0.2">
      <c r="A5" s="9" t="s">
        <v>6</v>
      </c>
      <c r="B5" s="10" t="s">
        <v>7</v>
      </c>
      <c r="C5" s="10">
        <f t="shared" ref="C5:C51" si="2">+C4+1</f>
        <v>154</v>
      </c>
      <c r="D5" s="10" t="str">
        <f t="shared" si="0"/>
        <v>GS-154-11/28</v>
      </c>
      <c r="E5" s="11" t="str">
        <f t="shared" si="1"/>
        <v>*GS-154-11/28*</v>
      </c>
      <c r="F5" s="11"/>
    </row>
    <row r="6" spans="1:6" s="6" customFormat="1" ht="39.950000000000003" customHeight="1" x14ac:dyDescent="0.2">
      <c r="A6" s="9" t="s">
        <v>6</v>
      </c>
      <c r="B6" s="10" t="s">
        <v>7</v>
      </c>
      <c r="C6" s="10">
        <f t="shared" si="2"/>
        <v>155</v>
      </c>
      <c r="D6" s="10" t="str">
        <f t="shared" si="0"/>
        <v>GS-155-11/28</v>
      </c>
      <c r="E6" s="11" t="str">
        <f t="shared" si="1"/>
        <v>*GS-155-11/28*</v>
      </c>
      <c r="F6" s="11"/>
    </row>
    <row r="7" spans="1:6" s="6" customFormat="1" ht="39.950000000000003" customHeight="1" x14ac:dyDescent="0.2">
      <c r="A7" s="9" t="s">
        <v>6</v>
      </c>
      <c r="B7" s="10" t="s">
        <v>7</v>
      </c>
      <c r="C7" s="10">
        <f t="shared" si="2"/>
        <v>156</v>
      </c>
      <c r="D7" s="10" t="str">
        <f t="shared" si="0"/>
        <v>GS-156-11/28</v>
      </c>
      <c r="E7" s="11" t="str">
        <f t="shared" si="1"/>
        <v>*GS-156-11/28*</v>
      </c>
      <c r="F7" s="11"/>
    </row>
    <row r="8" spans="1:6" s="6" customFormat="1" ht="39.950000000000003" customHeight="1" x14ac:dyDescent="0.2">
      <c r="A8" s="9" t="s">
        <v>6</v>
      </c>
      <c r="B8" s="10" t="s">
        <v>7</v>
      </c>
      <c r="C8" s="10">
        <f t="shared" si="2"/>
        <v>157</v>
      </c>
      <c r="D8" s="10" t="str">
        <f t="shared" si="0"/>
        <v>GS-157-11/28</v>
      </c>
      <c r="E8" s="11" t="str">
        <f t="shared" si="1"/>
        <v>*GS-157-11/28*</v>
      </c>
      <c r="F8" s="11"/>
    </row>
    <row r="9" spans="1:6" s="6" customFormat="1" ht="39.950000000000003" customHeight="1" x14ac:dyDescent="0.2">
      <c r="A9" s="9" t="s">
        <v>6</v>
      </c>
      <c r="B9" s="10" t="s">
        <v>7</v>
      </c>
      <c r="C9" s="10">
        <f t="shared" si="2"/>
        <v>158</v>
      </c>
      <c r="D9" s="10" t="str">
        <f t="shared" si="0"/>
        <v>GS-158-11/28</v>
      </c>
      <c r="E9" s="11" t="str">
        <f t="shared" si="1"/>
        <v>*GS-158-11/28*</v>
      </c>
      <c r="F9" s="11"/>
    </row>
    <row r="10" spans="1:6" s="6" customFormat="1" ht="39.950000000000003" customHeight="1" x14ac:dyDescent="0.2">
      <c r="A10" s="9" t="s">
        <v>6</v>
      </c>
      <c r="B10" s="10" t="s">
        <v>7</v>
      </c>
      <c r="C10" s="10">
        <f t="shared" si="2"/>
        <v>159</v>
      </c>
      <c r="D10" s="10" t="str">
        <f t="shared" si="0"/>
        <v>GS-159-11/28</v>
      </c>
      <c r="E10" s="11" t="str">
        <f t="shared" si="1"/>
        <v>*GS-159-11/28*</v>
      </c>
      <c r="F10" s="11"/>
    </row>
    <row r="11" spans="1:6" s="6" customFormat="1" ht="39.950000000000003" customHeight="1" x14ac:dyDescent="0.2">
      <c r="A11" s="9" t="s">
        <v>6</v>
      </c>
      <c r="B11" s="10" t="s">
        <v>7</v>
      </c>
      <c r="C11" s="10">
        <f t="shared" si="2"/>
        <v>160</v>
      </c>
      <c r="D11" s="10" t="str">
        <f t="shared" si="0"/>
        <v>GS-160-11/28</v>
      </c>
      <c r="E11" s="11" t="str">
        <f t="shared" si="1"/>
        <v>*GS-160-11/28*</v>
      </c>
      <c r="F11" s="11"/>
    </row>
    <row r="12" spans="1:6" s="6" customFormat="1" ht="39.950000000000003" customHeight="1" x14ac:dyDescent="0.2">
      <c r="A12" s="9" t="s">
        <v>6</v>
      </c>
      <c r="B12" s="10" t="s">
        <v>7</v>
      </c>
      <c r="C12" s="10">
        <f t="shared" si="2"/>
        <v>161</v>
      </c>
      <c r="D12" s="10" t="str">
        <f t="shared" si="0"/>
        <v>GS-161-11/28</v>
      </c>
      <c r="E12" s="11" t="str">
        <f t="shared" si="1"/>
        <v>*GS-161-11/28*</v>
      </c>
      <c r="F12" s="11"/>
    </row>
    <row r="13" spans="1:6" s="6" customFormat="1" ht="39.950000000000003" customHeight="1" x14ac:dyDescent="0.2">
      <c r="A13" s="9" t="s">
        <v>6</v>
      </c>
      <c r="B13" s="10" t="s">
        <v>7</v>
      </c>
      <c r="C13" s="10">
        <f t="shared" si="2"/>
        <v>162</v>
      </c>
      <c r="D13" s="10" t="str">
        <f t="shared" si="0"/>
        <v>GS-162-11/28</v>
      </c>
      <c r="E13" s="11" t="str">
        <f t="shared" si="1"/>
        <v>*GS-162-11/28*</v>
      </c>
      <c r="F13" s="11"/>
    </row>
    <row r="14" spans="1:6" s="6" customFormat="1" ht="39.950000000000003" customHeight="1" x14ac:dyDescent="0.2">
      <c r="A14" s="9" t="s">
        <v>6</v>
      </c>
      <c r="B14" s="10" t="s">
        <v>7</v>
      </c>
      <c r="C14" s="10">
        <f t="shared" si="2"/>
        <v>163</v>
      </c>
      <c r="D14" s="10" t="str">
        <f t="shared" si="0"/>
        <v>GS-163-11/28</v>
      </c>
      <c r="E14" s="11" t="str">
        <f t="shared" si="1"/>
        <v>*GS-163-11/28*</v>
      </c>
      <c r="F14" s="11"/>
    </row>
    <row r="15" spans="1:6" s="6" customFormat="1" ht="39.950000000000003" customHeight="1" x14ac:dyDescent="0.2">
      <c r="A15" s="9" t="s">
        <v>6</v>
      </c>
      <c r="B15" s="10" t="s">
        <v>7</v>
      </c>
      <c r="C15" s="10">
        <f t="shared" si="2"/>
        <v>164</v>
      </c>
      <c r="D15" s="10" t="str">
        <f t="shared" si="0"/>
        <v>GS-164-11/28</v>
      </c>
      <c r="E15" s="11" t="str">
        <f t="shared" si="1"/>
        <v>*GS-164-11/28*</v>
      </c>
      <c r="F15" s="11"/>
    </row>
    <row r="16" spans="1:6" s="6" customFormat="1" ht="39.950000000000003" customHeight="1" x14ac:dyDescent="0.2">
      <c r="A16" s="9" t="s">
        <v>6</v>
      </c>
      <c r="B16" s="10" t="s">
        <v>7</v>
      </c>
      <c r="C16" s="10">
        <f t="shared" si="2"/>
        <v>165</v>
      </c>
      <c r="D16" s="10" t="str">
        <f t="shared" si="0"/>
        <v>GS-165-11/28</v>
      </c>
      <c r="E16" s="11" t="str">
        <f t="shared" si="1"/>
        <v>*GS-165-11/28*</v>
      </c>
      <c r="F16" s="11"/>
    </row>
    <row r="17" spans="1:6" s="6" customFormat="1" ht="39.950000000000003" customHeight="1" x14ac:dyDescent="0.2">
      <c r="A17" s="9" t="s">
        <v>6</v>
      </c>
      <c r="B17" s="10" t="s">
        <v>7</v>
      </c>
      <c r="C17" s="10">
        <f t="shared" si="2"/>
        <v>166</v>
      </c>
      <c r="D17" s="10" t="str">
        <f t="shared" si="0"/>
        <v>GS-166-11/28</v>
      </c>
      <c r="E17" s="11" t="str">
        <f t="shared" si="1"/>
        <v>*GS-166-11/28*</v>
      </c>
      <c r="F17" s="11"/>
    </row>
    <row r="18" spans="1:6" s="6" customFormat="1" ht="39.950000000000003" customHeight="1" x14ac:dyDescent="0.2">
      <c r="A18" s="9" t="s">
        <v>6</v>
      </c>
      <c r="B18" s="10" t="s">
        <v>7</v>
      </c>
      <c r="C18" s="10">
        <f t="shared" si="2"/>
        <v>167</v>
      </c>
      <c r="D18" s="10" t="str">
        <f t="shared" si="0"/>
        <v>GS-167-11/28</v>
      </c>
      <c r="E18" s="11" t="str">
        <f t="shared" si="1"/>
        <v>*GS-167-11/28*</v>
      </c>
      <c r="F18" s="11"/>
    </row>
    <row r="19" spans="1:6" s="6" customFormat="1" ht="39.950000000000003" customHeight="1" x14ac:dyDescent="0.2">
      <c r="A19" s="9" t="s">
        <v>6</v>
      </c>
      <c r="B19" s="10" t="s">
        <v>7</v>
      </c>
      <c r="C19" s="10">
        <f t="shared" si="2"/>
        <v>168</v>
      </c>
      <c r="D19" s="10" t="str">
        <f t="shared" si="0"/>
        <v>GS-168-11/28</v>
      </c>
      <c r="E19" s="11" t="str">
        <f t="shared" si="1"/>
        <v>*GS-168-11/28*</v>
      </c>
      <c r="F19" s="11"/>
    </row>
    <row r="20" spans="1:6" s="6" customFormat="1" ht="39.950000000000003" customHeight="1" x14ac:dyDescent="0.2">
      <c r="A20" s="9" t="s">
        <v>6</v>
      </c>
      <c r="B20" s="10" t="s">
        <v>7</v>
      </c>
      <c r="C20" s="10">
        <f t="shared" si="2"/>
        <v>169</v>
      </c>
      <c r="D20" s="10" t="str">
        <f t="shared" si="0"/>
        <v>GS-169-11/28</v>
      </c>
      <c r="E20" s="11" t="str">
        <f t="shared" si="1"/>
        <v>*GS-169-11/28*</v>
      </c>
      <c r="F20" s="11"/>
    </row>
    <row r="21" spans="1:6" s="6" customFormat="1" ht="39.950000000000003" customHeight="1" x14ac:dyDescent="0.2">
      <c r="A21" s="9" t="s">
        <v>6</v>
      </c>
      <c r="B21" s="10" t="s">
        <v>7</v>
      </c>
      <c r="C21" s="10">
        <f t="shared" si="2"/>
        <v>170</v>
      </c>
      <c r="D21" s="10" t="str">
        <f t="shared" si="0"/>
        <v>GS-170-11/28</v>
      </c>
      <c r="E21" s="11" t="str">
        <f t="shared" si="1"/>
        <v>*GS-170-11/28*</v>
      </c>
      <c r="F21" s="11"/>
    </row>
    <row r="22" spans="1:6" ht="39.950000000000003" customHeight="1" x14ac:dyDescent="0.2">
      <c r="A22" s="9" t="s">
        <v>6</v>
      </c>
      <c r="B22" s="10" t="s">
        <v>7</v>
      </c>
      <c r="C22" s="10">
        <f t="shared" si="2"/>
        <v>171</v>
      </c>
      <c r="D22" s="10" t="str">
        <f t="shared" ref="D22:D51" si="3">_xlfn.CONCAT(B22,"-",C22,"-",A22)</f>
        <v>GS-171-11/28</v>
      </c>
      <c r="E22" s="11" t="str">
        <f t="shared" si="1"/>
        <v>*GS-171-11/28*</v>
      </c>
      <c r="F22" s="11"/>
    </row>
    <row r="23" spans="1:6" ht="39.950000000000003" customHeight="1" x14ac:dyDescent="0.2">
      <c r="A23" s="9" t="s">
        <v>6</v>
      </c>
      <c r="B23" s="10" t="s">
        <v>7</v>
      </c>
      <c r="C23" s="10">
        <f t="shared" si="2"/>
        <v>172</v>
      </c>
      <c r="D23" s="10" t="str">
        <f t="shared" si="3"/>
        <v>GS-172-11/28</v>
      </c>
      <c r="E23" s="11" t="str">
        <f t="shared" si="1"/>
        <v>*GS-172-11/28*</v>
      </c>
      <c r="F23" s="11"/>
    </row>
    <row r="24" spans="1:6" ht="39.950000000000003" customHeight="1" x14ac:dyDescent="0.2">
      <c r="A24" s="9" t="s">
        <v>6</v>
      </c>
      <c r="B24" s="10" t="s">
        <v>7</v>
      </c>
      <c r="C24" s="10">
        <f t="shared" si="2"/>
        <v>173</v>
      </c>
      <c r="D24" s="10" t="str">
        <f t="shared" si="3"/>
        <v>GS-173-11/28</v>
      </c>
      <c r="E24" s="11" t="str">
        <f t="shared" si="1"/>
        <v>*GS-173-11/28*</v>
      </c>
      <c r="F24" s="11"/>
    </row>
    <row r="25" spans="1:6" ht="39.950000000000003" customHeight="1" x14ac:dyDescent="0.2">
      <c r="A25" s="9" t="s">
        <v>6</v>
      </c>
      <c r="B25" s="10" t="s">
        <v>7</v>
      </c>
      <c r="C25" s="10">
        <f t="shared" si="2"/>
        <v>174</v>
      </c>
      <c r="D25" s="10" t="str">
        <f t="shared" si="3"/>
        <v>GS-174-11/28</v>
      </c>
      <c r="E25" s="11" t="str">
        <f t="shared" si="1"/>
        <v>*GS-174-11/28*</v>
      </c>
      <c r="F25" s="11"/>
    </row>
    <row r="26" spans="1:6" ht="39.950000000000003" customHeight="1" x14ac:dyDescent="0.2">
      <c r="A26" s="9" t="s">
        <v>6</v>
      </c>
      <c r="B26" s="10" t="s">
        <v>7</v>
      </c>
      <c r="C26" s="10">
        <f t="shared" si="2"/>
        <v>175</v>
      </c>
      <c r="D26" s="10" t="str">
        <f t="shared" si="3"/>
        <v>GS-175-11/28</v>
      </c>
      <c r="E26" s="11" t="str">
        <f t="shared" si="1"/>
        <v>*GS-175-11/28*</v>
      </c>
      <c r="F26" s="11"/>
    </row>
    <row r="27" spans="1:6" ht="39.950000000000003" customHeight="1" x14ac:dyDescent="0.2">
      <c r="A27" s="9" t="s">
        <v>6</v>
      </c>
      <c r="B27" s="10" t="s">
        <v>7</v>
      </c>
      <c r="C27" s="10">
        <f t="shared" si="2"/>
        <v>176</v>
      </c>
      <c r="D27" s="10" t="str">
        <f t="shared" si="3"/>
        <v>GS-176-11/28</v>
      </c>
      <c r="E27" s="11" t="str">
        <f t="shared" si="1"/>
        <v>*GS-176-11/28*</v>
      </c>
      <c r="F27" s="11"/>
    </row>
    <row r="28" spans="1:6" ht="39.950000000000003" customHeight="1" x14ac:dyDescent="0.2">
      <c r="A28" s="9" t="s">
        <v>6</v>
      </c>
      <c r="B28" s="10" t="s">
        <v>7</v>
      </c>
      <c r="C28" s="10">
        <f t="shared" si="2"/>
        <v>177</v>
      </c>
      <c r="D28" s="10" t="str">
        <f t="shared" si="3"/>
        <v>GS-177-11/28</v>
      </c>
      <c r="E28" s="11" t="str">
        <f t="shared" si="1"/>
        <v>*GS-177-11/28*</v>
      </c>
      <c r="F28" s="11"/>
    </row>
    <row r="29" spans="1:6" ht="39.950000000000003" customHeight="1" x14ac:dyDescent="0.2">
      <c r="A29" s="9" t="s">
        <v>6</v>
      </c>
      <c r="B29" s="10" t="s">
        <v>7</v>
      </c>
      <c r="C29" s="10">
        <f t="shared" si="2"/>
        <v>178</v>
      </c>
      <c r="D29" s="10" t="str">
        <f t="shared" si="3"/>
        <v>GS-178-11/28</v>
      </c>
      <c r="E29" s="11" t="str">
        <f t="shared" si="1"/>
        <v>*GS-178-11/28*</v>
      </c>
      <c r="F29" s="11"/>
    </row>
    <row r="30" spans="1:6" ht="39.950000000000003" customHeight="1" x14ac:dyDescent="0.2">
      <c r="A30" s="9" t="s">
        <v>6</v>
      </c>
      <c r="B30" s="10" t="s">
        <v>7</v>
      </c>
      <c r="C30" s="10">
        <f t="shared" si="2"/>
        <v>179</v>
      </c>
      <c r="D30" s="10" t="str">
        <f t="shared" si="3"/>
        <v>GS-179-11/28</v>
      </c>
      <c r="E30" s="11" t="str">
        <f t="shared" si="1"/>
        <v>*GS-179-11/28*</v>
      </c>
      <c r="F30" s="11"/>
    </row>
    <row r="31" spans="1:6" ht="39.950000000000003" customHeight="1" x14ac:dyDescent="0.2">
      <c r="A31" s="9" t="s">
        <v>6</v>
      </c>
      <c r="B31" s="10" t="s">
        <v>7</v>
      </c>
      <c r="C31" s="10">
        <f t="shared" si="2"/>
        <v>180</v>
      </c>
      <c r="D31" s="10" t="str">
        <f t="shared" si="3"/>
        <v>GS-180-11/28</v>
      </c>
      <c r="E31" s="11" t="str">
        <f t="shared" si="1"/>
        <v>*GS-180-11/28*</v>
      </c>
      <c r="F31" s="11"/>
    </row>
    <row r="32" spans="1:6" ht="39.950000000000003" customHeight="1" x14ac:dyDescent="0.2">
      <c r="A32" s="9" t="s">
        <v>6</v>
      </c>
      <c r="B32" s="10" t="s">
        <v>7</v>
      </c>
      <c r="C32" s="10">
        <f t="shared" si="2"/>
        <v>181</v>
      </c>
      <c r="D32" s="10" t="str">
        <f t="shared" si="3"/>
        <v>GS-181-11/28</v>
      </c>
      <c r="E32" s="11" t="str">
        <f t="shared" si="1"/>
        <v>*GS-181-11/28*</v>
      </c>
      <c r="F32" s="11"/>
    </row>
    <row r="33" spans="1:6" ht="39.950000000000003" customHeight="1" x14ac:dyDescent="0.2">
      <c r="A33" s="9" t="s">
        <v>6</v>
      </c>
      <c r="B33" s="10" t="s">
        <v>7</v>
      </c>
      <c r="C33" s="10">
        <f t="shared" si="2"/>
        <v>182</v>
      </c>
      <c r="D33" s="10" t="str">
        <f t="shared" si="3"/>
        <v>GS-182-11/28</v>
      </c>
      <c r="E33" s="11" t="str">
        <f t="shared" si="1"/>
        <v>*GS-182-11/28*</v>
      </c>
      <c r="F33" s="11"/>
    </row>
    <row r="34" spans="1:6" ht="39.950000000000003" customHeight="1" x14ac:dyDescent="0.2">
      <c r="A34" s="9" t="s">
        <v>6</v>
      </c>
      <c r="B34" s="10" t="s">
        <v>7</v>
      </c>
      <c r="C34" s="10">
        <f t="shared" si="2"/>
        <v>183</v>
      </c>
      <c r="D34" s="10" t="str">
        <f t="shared" si="3"/>
        <v>GS-183-11/28</v>
      </c>
      <c r="E34" s="11" t="str">
        <f t="shared" si="1"/>
        <v>*GS-183-11/28*</v>
      </c>
      <c r="F34" s="11"/>
    </row>
    <row r="35" spans="1:6" ht="39.950000000000003" customHeight="1" x14ac:dyDescent="0.2">
      <c r="A35" s="9" t="s">
        <v>6</v>
      </c>
      <c r="B35" s="10" t="s">
        <v>7</v>
      </c>
      <c r="C35" s="10">
        <f t="shared" si="2"/>
        <v>184</v>
      </c>
      <c r="D35" s="10" t="str">
        <f t="shared" si="3"/>
        <v>GS-184-11/28</v>
      </c>
      <c r="E35" s="11" t="str">
        <f t="shared" si="1"/>
        <v>*GS-184-11/28*</v>
      </c>
      <c r="F35" s="11"/>
    </row>
    <row r="36" spans="1:6" ht="39.950000000000003" customHeight="1" x14ac:dyDescent="0.2">
      <c r="A36" s="9" t="s">
        <v>6</v>
      </c>
      <c r="B36" s="10" t="s">
        <v>7</v>
      </c>
      <c r="C36" s="10">
        <f t="shared" si="2"/>
        <v>185</v>
      </c>
      <c r="D36" s="10" t="str">
        <f t="shared" si="3"/>
        <v>GS-185-11/28</v>
      </c>
      <c r="E36" s="11" t="str">
        <f t="shared" si="1"/>
        <v>*GS-185-11/28*</v>
      </c>
      <c r="F36" s="11"/>
    </row>
    <row r="37" spans="1:6" ht="39.950000000000003" customHeight="1" x14ac:dyDescent="0.2">
      <c r="A37" s="9" t="s">
        <v>6</v>
      </c>
      <c r="B37" s="10" t="s">
        <v>7</v>
      </c>
      <c r="C37" s="10">
        <f t="shared" si="2"/>
        <v>186</v>
      </c>
      <c r="D37" s="10" t="str">
        <f t="shared" si="3"/>
        <v>GS-186-11/28</v>
      </c>
      <c r="E37" s="11" t="str">
        <f t="shared" si="1"/>
        <v>*GS-186-11/28*</v>
      </c>
      <c r="F37" s="11"/>
    </row>
    <row r="38" spans="1:6" ht="39.950000000000003" customHeight="1" x14ac:dyDescent="0.2">
      <c r="A38" s="9" t="s">
        <v>6</v>
      </c>
      <c r="B38" s="10" t="s">
        <v>7</v>
      </c>
      <c r="C38" s="10">
        <f t="shared" si="2"/>
        <v>187</v>
      </c>
      <c r="D38" s="10" t="str">
        <f t="shared" si="3"/>
        <v>GS-187-11/28</v>
      </c>
      <c r="E38" s="11" t="str">
        <f t="shared" si="1"/>
        <v>*GS-187-11/28*</v>
      </c>
      <c r="F38" s="11"/>
    </row>
    <row r="39" spans="1:6" ht="39.950000000000003" customHeight="1" x14ac:dyDescent="0.2">
      <c r="A39" s="9" t="s">
        <v>6</v>
      </c>
      <c r="B39" s="10" t="s">
        <v>7</v>
      </c>
      <c r="C39" s="10">
        <f t="shared" si="2"/>
        <v>188</v>
      </c>
      <c r="D39" s="10" t="str">
        <f t="shared" si="3"/>
        <v>GS-188-11/28</v>
      </c>
      <c r="E39" s="11" t="str">
        <f t="shared" si="1"/>
        <v>*GS-188-11/28*</v>
      </c>
      <c r="F39" s="11"/>
    </row>
    <row r="40" spans="1:6" ht="39.950000000000003" customHeight="1" x14ac:dyDescent="0.2">
      <c r="A40" s="9" t="s">
        <v>6</v>
      </c>
      <c r="B40" s="10" t="s">
        <v>7</v>
      </c>
      <c r="C40" s="10">
        <f t="shared" si="2"/>
        <v>189</v>
      </c>
      <c r="D40" s="10" t="str">
        <f t="shared" si="3"/>
        <v>GS-189-11/28</v>
      </c>
      <c r="E40" s="11" t="str">
        <f t="shared" si="1"/>
        <v>*GS-189-11/28*</v>
      </c>
      <c r="F40" s="11"/>
    </row>
    <row r="41" spans="1:6" ht="39.950000000000003" customHeight="1" x14ac:dyDescent="0.2">
      <c r="A41" s="9" t="s">
        <v>6</v>
      </c>
      <c r="B41" s="10" t="s">
        <v>7</v>
      </c>
      <c r="C41" s="10">
        <f t="shared" si="2"/>
        <v>190</v>
      </c>
      <c r="D41" s="10" t="str">
        <f t="shared" si="3"/>
        <v>GS-190-11/28</v>
      </c>
      <c r="E41" s="11" t="str">
        <f t="shared" si="1"/>
        <v>*GS-190-11/28*</v>
      </c>
      <c r="F41" s="11"/>
    </row>
    <row r="42" spans="1:6" ht="39.950000000000003" customHeight="1" x14ac:dyDescent="0.2">
      <c r="A42" s="9" t="s">
        <v>6</v>
      </c>
      <c r="B42" s="10" t="s">
        <v>7</v>
      </c>
      <c r="C42" s="10">
        <f t="shared" si="2"/>
        <v>191</v>
      </c>
      <c r="D42" s="10" t="str">
        <f t="shared" si="3"/>
        <v>GS-191-11/28</v>
      </c>
      <c r="E42" s="11" t="str">
        <f t="shared" si="1"/>
        <v>*GS-191-11/28*</v>
      </c>
      <c r="F42" s="11"/>
    </row>
    <row r="43" spans="1:6" ht="39.950000000000003" customHeight="1" x14ac:dyDescent="0.2">
      <c r="A43" s="9" t="s">
        <v>6</v>
      </c>
      <c r="B43" s="10" t="s">
        <v>7</v>
      </c>
      <c r="C43" s="10">
        <f t="shared" si="2"/>
        <v>192</v>
      </c>
      <c r="D43" s="10" t="str">
        <f t="shared" si="3"/>
        <v>GS-192-11/28</v>
      </c>
      <c r="E43" s="11" t="str">
        <f t="shared" si="1"/>
        <v>*GS-192-11/28*</v>
      </c>
      <c r="F43" s="11"/>
    </row>
    <row r="44" spans="1:6" ht="39.950000000000003" customHeight="1" x14ac:dyDescent="0.2">
      <c r="A44" s="9" t="s">
        <v>6</v>
      </c>
      <c r="B44" s="10" t="s">
        <v>7</v>
      </c>
      <c r="C44" s="10">
        <f t="shared" si="2"/>
        <v>193</v>
      </c>
      <c r="D44" s="10" t="str">
        <f t="shared" si="3"/>
        <v>GS-193-11/28</v>
      </c>
      <c r="E44" s="11" t="str">
        <f t="shared" si="1"/>
        <v>*GS-193-11/28*</v>
      </c>
      <c r="F44" s="11"/>
    </row>
    <row r="45" spans="1:6" ht="39.950000000000003" customHeight="1" x14ac:dyDescent="0.2">
      <c r="A45" s="9" t="s">
        <v>6</v>
      </c>
      <c r="B45" s="10" t="s">
        <v>7</v>
      </c>
      <c r="C45" s="10">
        <f t="shared" si="2"/>
        <v>194</v>
      </c>
      <c r="D45" s="10" t="str">
        <f t="shared" si="3"/>
        <v>GS-194-11/28</v>
      </c>
      <c r="E45" s="11" t="str">
        <f t="shared" si="1"/>
        <v>*GS-194-11/28*</v>
      </c>
      <c r="F45" s="11"/>
    </row>
    <row r="46" spans="1:6" ht="39.950000000000003" customHeight="1" x14ac:dyDescent="0.2">
      <c r="A46" s="9" t="s">
        <v>6</v>
      </c>
      <c r="B46" s="10" t="s">
        <v>7</v>
      </c>
      <c r="C46" s="10">
        <f t="shared" si="2"/>
        <v>195</v>
      </c>
      <c r="D46" s="10" t="str">
        <f t="shared" si="3"/>
        <v>GS-195-11/28</v>
      </c>
      <c r="E46" s="11" t="str">
        <f t="shared" si="1"/>
        <v>*GS-195-11/28*</v>
      </c>
      <c r="F46" s="11"/>
    </row>
    <row r="47" spans="1:6" ht="39.950000000000003" customHeight="1" x14ac:dyDescent="0.2">
      <c r="A47" s="9" t="s">
        <v>6</v>
      </c>
      <c r="B47" s="10" t="s">
        <v>7</v>
      </c>
      <c r="C47" s="10">
        <f t="shared" si="2"/>
        <v>196</v>
      </c>
      <c r="D47" s="10" t="str">
        <f t="shared" si="3"/>
        <v>GS-196-11/28</v>
      </c>
      <c r="E47" s="11" t="str">
        <f t="shared" si="1"/>
        <v>*GS-196-11/28*</v>
      </c>
      <c r="F47" s="11"/>
    </row>
    <row r="48" spans="1:6" ht="39.950000000000003" customHeight="1" x14ac:dyDescent="0.2">
      <c r="A48" s="9" t="s">
        <v>6</v>
      </c>
      <c r="B48" s="10" t="s">
        <v>7</v>
      </c>
      <c r="C48" s="10">
        <f t="shared" si="2"/>
        <v>197</v>
      </c>
      <c r="D48" s="10" t="str">
        <f t="shared" si="3"/>
        <v>GS-197-11/28</v>
      </c>
      <c r="E48" s="11" t="str">
        <f t="shared" si="1"/>
        <v>*GS-197-11/28*</v>
      </c>
      <c r="F48" s="11"/>
    </row>
    <row r="49" spans="1:6" ht="39.950000000000003" customHeight="1" x14ac:dyDescent="0.2">
      <c r="A49" s="9" t="s">
        <v>6</v>
      </c>
      <c r="B49" s="10" t="s">
        <v>7</v>
      </c>
      <c r="C49" s="10">
        <f t="shared" si="2"/>
        <v>198</v>
      </c>
      <c r="D49" s="10" t="str">
        <f t="shared" si="3"/>
        <v>GS-198-11/28</v>
      </c>
      <c r="E49" s="11" t="str">
        <f t="shared" si="1"/>
        <v>*GS-198-11/28*</v>
      </c>
      <c r="F49" s="11"/>
    </row>
    <row r="50" spans="1:6" ht="39.950000000000003" customHeight="1" x14ac:dyDescent="0.2">
      <c r="A50" s="9" t="s">
        <v>6</v>
      </c>
      <c r="B50" s="10" t="s">
        <v>7</v>
      </c>
      <c r="C50" s="10">
        <f t="shared" si="2"/>
        <v>199</v>
      </c>
      <c r="D50" s="10" t="str">
        <f t="shared" si="3"/>
        <v>GS-199-11/28</v>
      </c>
      <c r="E50" s="11" t="str">
        <f t="shared" si="1"/>
        <v>*GS-199-11/28*</v>
      </c>
      <c r="F50" s="11"/>
    </row>
    <row r="51" spans="1:6" ht="39.950000000000003" customHeight="1" x14ac:dyDescent="0.2">
      <c r="A51" s="9" t="s">
        <v>6</v>
      </c>
      <c r="B51" s="10" t="s">
        <v>7</v>
      </c>
      <c r="C51" s="10">
        <f t="shared" si="2"/>
        <v>200</v>
      </c>
      <c r="D51" s="10" t="str">
        <f t="shared" si="3"/>
        <v>GS-200-11/28</v>
      </c>
      <c r="E51" s="11" t="str">
        <f t="shared" si="1"/>
        <v>*GS-200-11/28*</v>
      </c>
      <c r="F51" s="11"/>
    </row>
  </sheetData>
  <autoFilter ref="A1:E21" xr:uid="{9C6D9933-12B2-4924-AF4C-A36051F44DF2}"/>
  <pageMargins left="0.23622047244094491" right="0.23622047244094491" top="0.74803149606299213" bottom="0.31" header="0.31496062992125984" footer="0.31496062992125984"/>
  <pageSetup scale="155" orientation="landscape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8884-2588-49FA-87BF-5801C8CD5E02}">
  <dimension ref="A1:C5"/>
  <sheetViews>
    <sheetView zoomScale="295" zoomScaleNormal="295" workbookViewId="0">
      <selection activeCell="F2" sqref="F2"/>
    </sheetView>
  </sheetViews>
  <sheetFormatPr defaultRowHeight="11.25" x14ac:dyDescent="0.2"/>
  <cols>
    <col min="1" max="2" width="9.33203125" style="2"/>
  </cols>
  <sheetData>
    <row r="1" spans="1:3" x14ac:dyDescent="0.2">
      <c r="A1" s="12" t="s">
        <v>8</v>
      </c>
      <c r="B1" s="12" t="s">
        <v>9</v>
      </c>
      <c r="C1" t="s">
        <v>10</v>
      </c>
    </row>
    <row r="2" spans="1:3" x14ac:dyDescent="0.2">
      <c r="A2" s="12">
        <v>10044626</v>
      </c>
      <c r="B2" s="12">
        <v>2</v>
      </c>
      <c r="C2" t="s">
        <v>11</v>
      </c>
    </row>
    <row r="3" spans="1:3" x14ac:dyDescent="0.2">
      <c r="A3" s="12">
        <v>10096224</v>
      </c>
      <c r="B3" s="12">
        <v>5</v>
      </c>
      <c r="C3" t="s">
        <v>11</v>
      </c>
    </row>
    <row r="4" spans="1:3" x14ac:dyDescent="0.2">
      <c r="A4" s="12">
        <v>50004015</v>
      </c>
      <c r="B4" s="12">
        <v>15</v>
      </c>
      <c r="C4" t="s">
        <v>11</v>
      </c>
    </row>
    <row r="5" spans="1:3" x14ac:dyDescent="0.2">
      <c r="A5" s="12">
        <v>50005926</v>
      </c>
      <c r="B5" s="12"/>
      <c r="C5" t="s">
        <v>12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D81A-9F93-435A-990D-AB7FF7F37822}">
  <dimension ref="A1:D34"/>
  <sheetViews>
    <sheetView workbookViewId="0"/>
  </sheetViews>
  <sheetFormatPr defaultRowHeight="11.25" x14ac:dyDescent="0.2"/>
  <cols>
    <col min="1" max="1" width="18" style="2" customWidth="1"/>
    <col min="2" max="3" width="29" style="2" customWidth="1"/>
    <col min="4" max="4" width="19.1640625" style="2" customWidth="1"/>
  </cols>
  <sheetData>
    <row r="1" spans="1:4" x14ac:dyDescent="0.2">
      <c r="A1" s="8" t="s">
        <v>45</v>
      </c>
      <c r="B1" s="8" t="s">
        <v>8</v>
      </c>
      <c r="C1" s="8" t="s">
        <v>9</v>
      </c>
      <c r="D1" s="8" t="s">
        <v>42</v>
      </c>
    </row>
    <row r="2" spans="1:4" ht="20.100000000000001" customHeight="1" x14ac:dyDescent="0.2">
      <c r="A2" s="37"/>
      <c r="B2" s="37"/>
      <c r="C2" s="37"/>
      <c r="D2" s="37"/>
    </row>
    <row r="3" spans="1:4" ht="20.100000000000001" customHeight="1" x14ac:dyDescent="0.2">
      <c r="A3" s="37"/>
      <c r="B3" s="37"/>
      <c r="C3" s="37"/>
      <c r="D3" s="37"/>
    </row>
    <row r="4" spans="1:4" ht="20.100000000000001" customHeight="1" x14ac:dyDescent="0.2">
      <c r="A4" s="37"/>
      <c r="B4" s="37"/>
      <c r="C4" s="37"/>
      <c r="D4" s="37"/>
    </row>
    <row r="5" spans="1:4" ht="20.100000000000001" customHeight="1" x14ac:dyDescent="0.2">
      <c r="A5" s="37"/>
      <c r="B5" s="37"/>
      <c r="C5" s="37"/>
      <c r="D5" s="37"/>
    </row>
    <row r="6" spans="1:4" ht="20.100000000000001" customHeight="1" x14ac:dyDescent="0.2">
      <c r="A6" s="37"/>
      <c r="B6" s="37"/>
      <c r="C6" s="37"/>
      <c r="D6" s="37"/>
    </row>
    <row r="7" spans="1:4" ht="20.100000000000001" customHeight="1" x14ac:dyDescent="0.2">
      <c r="A7" s="37"/>
      <c r="B7" s="37"/>
      <c r="C7" s="37"/>
      <c r="D7" s="37"/>
    </row>
    <row r="8" spans="1:4" ht="20.100000000000001" customHeight="1" x14ac:dyDescent="0.2">
      <c r="A8" s="37"/>
      <c r="B8" s="37"/>
      <c r="C8" s="37"/>
      <c r="D8" s="37"/>
    </row>
    <row r="9" spans="1:4" ht="20.100000000000001" customHeight="1" x14ac:dyDescent="0.2">
      <c r="A9" s="37"/>
      <c r="B9" s="37"/>
      <c r="C9" s="37"/>
      <c r="D9" s="37"/>
    </row>
    <row r="10" spans="1:4" ht="20.100000000000001" customHeight="1" x14ac:dyDescent="0.2">
      <c r="A10" s="37"/>
      <c r="B10" s="37"/>
      <c r="C10" s="37"/>
      <c r="D10" s="37"/>
    </row>
    <row r="11" spans="1:4" ht="20.100000000000001" customHeight="1" x14ac:dyDescent="0.2">
      <c r="A11" s="37"/>
      <c r="B11" s="37"/>
      <c r="C11" s="37"/>
      <c r="D11" s="37"/>
    </row>
    <row r="12" spans="1:4" ht="20.100000000000001" customHeight="1" x14ac:dyDescent="0.2">
      <c r="A12" s="37"/>
      <c r="B12" s="37"/>
      <c r="C12" s="37"/>
      <c r="D12" s="37"/>
    </row>
    <row r="13" spans="1:4" ht="20.100000000000001" customHeight="1" x14ac:dyDescent="0.2">
      <c r="A13" s="37"/>
      <c r="B13" s="37"/>
      <c r="C13" s="37"/>
      <c r="D13" s="37"/>
    </row>
    <row r="14" spans="1:4" ht="20.100000000000001" customHeight="1" x14ac:dyDescent="0.2">
      <c r="A14" s="37"/>
      <c r="B14" s="37"/>
      <c r="C14" s="37"/>
      <c r="D14" s="37"/>
    </row>
    <row r="15" spans="1:4" ht="20.100000000000001" customHeight="1" x14ac:dyDescent="0.2">
      <c r="A15" s="37"/>
      <c r="B15" s="37"/>
      <c r="C15" s="37"/>
      <c r="D15" s="37"/>
    </row>
    <row r="16" spans="1:4" ht="20.100000000000001" customHeight="1" x14ac:dyDescent="0.2">
      <c r="A16" s="37"/>
      <c r="B16" s="37"/>
      <c r="C16" s="37"/>
      <c r="D16" s="37"/>
    </row>
    <row r="17" spans="1:4" ht="20.100000000000001" customHeight="1" x14ac:dyDescent="0.2">
      <c r="A17" s="37"/>
      <c r="B17" s="37"/>
      <c r="C17" s="37"/>
      <c r="D17" s="37"/>
    </row>
    <row r="18" spans="1:4" ht="20.100000000000001" customHeight="1" x14ac:dyDescent="0.2">
      <c r="A18" s="37"/>
      <c r="B18" s="37"/>
      <c r="C18" s="37"/>
      <c r="D18" s="37"/>
    </row>
    <row r="19" spans="1:4" ht="20.100000000000001" customHeight="1" x14ac:dyDescent="0.2">
      <c r="A19" s="37"/>
      <c r="B19" s="37"/>
      <c r="C19" s="37"/>
      <c r="D19" s="37"/>
    </row>
    <row r="20" spans="1:4" ht="20.100000000000001" customHeight="1" x14ac:dyDescent="0.2">
      <c r="A20" s="37"/>
      <c r="B20" s="37"/>
      <c r="C20" s="37"/>
      <c r="D20" s="37"/>
    </row>
    <row r="21" spans="1:4" ht="20.100000000000001" customHeight="1" x14ac:dyDescent="0.2">
      <c r="A21" s="37"/>
      <c r="B21" s="37"/>
      <c r="C21" s="37"/>
      <c r="D21" s="37"/>
    </row>
    <row r="22" spans="1:4" ht="20.100000000000001" customHeight="1" x14ac:dyDescent="0.2">
      <c r="A22" s="37"/>
      <c r="B22" s="37"/>
      <c r="C22" s="37"/>
      <c r="D22" s="37"/>
    </row>
    <row r="23" spans="1:4" ht="20.100000000000001" customHeight="1" x14ac:dyDescent="0.2">
      <c r="A23" s="37"/>
      <c r="B23" s="37"/>
      <c r="C23" s="37"/>
      <c r="D23" s="37"/>
    </row>
    <row r="24" spans="1:4" ht="20.100000000000001" customHeight="1" x14ac:dyDescent="0.2">
      <c r="A24" s="37"/>
      <c r="B24" s="37"/>
      <c r="C24" s="37"/>
      <c r="D24" s="37"/>
    </row>
    <row r="25" spans="1:4" ht="20.100000000000001" customHeight="1" x14ac:dyDescent="0.2">
      <c r="A25" s="37"/>
      <c r="B25" s="37"/>
      <c r="C25" s="37"/>
      <c r="D25" s="37"/>
    </row>
    <row r="26" spans="1:4" ht="20.100000000000001" customHeight="1" x14ac:dyDescent="0.2">
      <c r="A26" s="37"/>
      <c r="B26" s="37"/>
      <c r="C26" s="37"/>
      <c r="D26" s="37"/>
    </row>
    <row r="27" spans="1:4" ht="20.100000000000001" customHeight="1" x14ac:dyDescent="0.2">
      <c r="A27" s="37"/>
      <c r="B27" s="37"/>
      <c r="C27" s="37"/>
      <c r="D27" s="37"/>
    </row>
    <row r="28" spans="1:4" ht="20.100000000000001" customHeight="1" x14ac:dyDescent="0.2">
      <c r="A28" s="37"/>
      <c r="B28" s="37"/>
      <c r="C28" s="37"/>
      <c r="D28" s="37"/>
    </row>
    <row r="29" spans="1:4" ht="20.100000000000001" customHeight="1" x14ac:dyDescent="0.2">
      <c r="A29" s="37"/>
      <c r="B29" s="37"/>
      <c r="C29" s="37"/>
      <c r="D29" s="37"/>
    </row>
    <row r="30" spans="1:4" ht="20.100000000000001" customHeight="1" x14ac:dyDescent="0.2">
      <c r="A30" s="37"/>
      <c r="B30" s="37"/>
      <c r="C30" s="37"/>
      <c r="D30" s="37"/>
    </row>
    <row r="31" spans="1:4" ht="20.100000000000001" customHeight="1" x14ac:dyDescent="0.2">
      <c r="A31" s="37"/>
      <c r="B31" s="37"/>
      <c r="C31" s="37"/>
      <c r="D31" s="37"/>
    </row>
    <row r="32" spans="1:4" ht="20.100000000000001" customHeight="1" x14ac:dyDescent="0.2">
      <c r="A32" s="37"/>
      <c r="B32" s="37"/>
      <c r="C32" s="37"/>
      <c r="D32" s="37"/>
    </row>
    <row r="33" spans="1:4" ht="20.100000000000001" customHeight="1" x14ac:dyDescent="0.2">
      <c r="A33" s="37"/>
      <c r="B33" s="37"/>
      <c r="C33" s="37"/>
      <c r="D33" s="37"/>
    </row>
    <row r="34" spans="1:4" ht="20.100000000000001" customHeight="1" x14ac:dyDescent="0.2">
      <c r="A34" s="37"/>
      <c r="B34" s="37"/>
      <c r="C34" s="37"/>
      <c r="D34" s="37"/>
    </row>
  </sheetData>
  <pageMargins left="0.23622047244094491" right="0.23622047244094491" top="0.74803149606299213" bottom="0.74803149606299213" header="0.31496062992125984" footer="0.31496062992125984"/>
  <pageSetup orientation="portrait" r:id="rId1"/>
  <headerFooter>
    <oddFooter>&amp;LDATE:________________________&amp;RPROCESS BY:____________________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6DD5-3065-4273-BB93-A799AE9344E5}">
  <dimension ref="A1:G34"/>
  <sheetViews>
    <sheetView workbookViewId="0"/>
  </sheetViews>
  <sheetFormatPr defaultRowHeight="11.25" x14ac:dyDescent="0.2"/>
  <cols>
    <col min="1" max="1" width="18" style="2" customWidth="1"/>
    <col min="2" max="2" width="29" style="2" customWidth="1"/>
    <col min="3" max="3" width="19.1640625" style="2" customWidth="1"/>
    <col min="4" max="4" width="3.1640625" customWidth="1"/>
    <col min="5" max="5" width="18" style="2" customWidth="1"/>
    <col min="6" max="6" width="29" style="2" customWidth="1"/>
    <col min="7" max="7" width="19.1640625" style="2" customWidth="1"/>
  </cols>
  <sheetData>
    <row r="1" spans="1:7" x14ac:dyDescent="0.2">
      <c r="A1" s="8" t="s">
        <v>36</v>
      </c>
      <c r="B1" s="8" t="s">
        <v>41</v>
      </c>
      <c r="C1" s="8" t="s">
        <v>42</v>
      </c>
      <c r="E1" s="8" t="s">
        <v>36</v>
      </c>
      <c r="F1" s="8" t="s">
        <v>41</v>
      </c>
      <c r="G1" s="8" t="s">
        <v>42</v>
      </c>
    </row>
    <row r="2" spans="1:7" ht="20.100000000000001" customHeight="1" x14ac:dyDescent="0.2">
      <c r="A2" s="37"/>
      <c r="B2" s="37"/>
      <c r="C2" s="37"/>
      <c r="E2" s="37"/>
      <c r="F2" s="37"/>
      <c r="G2" s="37"/>
    </row>
    <row r="3" spans="1:7" ht="20.100000000000001" customHeight="1" x14ac:dyDescent="0.2">
      <c r="A3" s="37"/>
      <c r="B3" s="37"/>
      <c r="C3" s="37"/>
      <c r="E3" s="37"/>
      <c r="F3" s="37"/>
      <c r="G3" s="37"/>
    </row>
    <row r="4" spans="1:7" ht="20.100000000000001" customHeight="1" x14ac:dyDescent="0.2">
      <c r="A4" s="37"/>
      <c r="B4" s="37"/>
      <c r="C4" s="37"/>
      <c r="E4" s="37"/>
      <c r="F4" s="37"/>
      <c r="G4" s="37"/>
    </row>
    <row r="5" spans="1:7" ht="20.100000000000001" customHeight="1" x14ac:dyDescent="0.2">
      <c r="A5" s="37"/>
      <c r="B5" s="37"/>
      <c r="C5" s="37"/>
      <c r="E5" s="37"/>
      <c r="F5" s="37"/>
      <c r="G5" s="37"/>
    </row>
    <row r="6" spans="1:7" ht="20.100000000000001" customHeight="1" x14ac:dyDescent="0.2">
      <c r="A6" s="37"/>
      <c r="B6" s="37"/>
      <c r="C6" s="37"/>
      <c r="E6" s="37"/>
      <c r="F6" s="37"/>
      <c r="G6" s="37"/>
    </row>
    <row r="7" spans="1:7" ht="20.100000000000001" customHeight="1" x14ac:dyDescent="0.2">
      <c r="A7" s="37"/>
      <c r="B7" s="37"/>
      <c r="C7" s="37"/>
      <c r="E7" s="37"/>
      <c r="F7" s="37"/>
      <c r="G7" s="37"/>
    </row>
    <row r="8" spans="1:7" ht="20.100000000000001" customHeight="1" x14ac:dyDescent="0.2">
      <c r="A8" s="37"/>
      <c r="B8" s="37"/>
      <c r="C8" s="37"/>
      <c r="E8" s="37"/>
      <c r="F8" s="37"/>
      <c r="G8" s="37"/>
    </row>
    <row r="9" spans="1:7" ht="20.100000000000001" customHeight="1" x14ac:dyDescent="0.2">
      <c r="A9" s="37"/>
      <c r="B9" s="37"/>
      <c r="C9" s="37"/>
      <c r="E9" s="37"/>
      <c r="F9" s="37"/>
      <c r="G9" s="37"/>
    </row>
    <row r="10" spans="1:7" ht="20.100000000000001" customHeight="1" x14ac:dyDescent="0.2">
      <c r="A10" s="37"/>
      <c r="B10" s="37"/>
      <c r="C10" s="37"/>
      <c r="E10" s="37"/>
      <c r="F10" s="37"/>
      <c r="G10" s="37"/>
    </row>
    <row r="11" spans="1:7" ht="20.100000000000001" customHeight="1" x14ac:dyDescent="0.2">
      <c r="A11" s="37"/>
      <c r="B11" s="37"/>
      <c r="C11" s="37"/>
      <c r="E11" s="37"/>
      <c r="F11" s="37"/>
      <c r="G11" s="37"/>
    </row>
    <row r="12" spans="1:7" ht="20.100000000000001" customHeight="1" x14ac:dyDescent="0.2">
      <c r="A12" s="37"/>
      <c r="B12" s="37"/>
      <c r="C12" s="37"/>
      <c r="E12" s="37"/>
      <c r="F12" s="37"/>
      <c r="G12" s="37"/>
    </row>
    <row r="13" spans="1:7" ht="20.100000000000001" customHeight="1" x14ac:dyDescent="0.2">
      <c r="A13" s="37"/>
      <c r="B13" s="37"/>
      <c r="C13" s="37"/>
      <c r="E13" s="37"/>
      <c r="F13" s="37"/>
      <c r="G13" s="37"/>
    </row>
    <row r="14" spans="1:7" ht="20.100000000000001" customHeight="1" x14ac:dyDescent="0.2">
      <c r="A14" s="37"/>
      <c r="B14" s="37"/>
      <c r="C14" s="37"/>
      <c r="E14" s="37"/>
      <c r="F14" s="37"/>
      <c r="G14" s="37"/>
    </row>
    <row r="15" spans="1:7" ht="20.100000000000001" customHeight="1" x14ac:dyDescent="0.2">
      <c r="A15" s="37"/>
      <c r="B15" s="37"/>
      <c r="C15" s="37"/>
      <c r="E15" s="37"/>
      <c r="F15" s="37"/>
      <c r="G15" s="37"/>
    </row>
    <row r="16" spans="1:7" ht="20.100000000000001" customHeight="1" x14ac:dyDescent="0.2">
      <c r="A16" s="37"/>
      <c r="B16" s="37"/>
      <c r="C16" s="37"/>
      <c r="E16" s="37"/>
      <c r="F16" s="37"/>
      <c r="G16" s="37"/>
    </row>
    <row r="17" spans="1:7" ht="20.100000000000001" customHeight="1" x14ac:dyDescent="0.2">
      <c r="A17" s="37"/>
      <c r="B17" s="37"/>
      <c r="C17" s="37"/>
      <c r="E17" s="37"/>
      <c r="F17" s="37"/>
      <c r="G17" s="37"/>
    </row>
    <row r="18" spans="1:7" ht="20.100000000000001" customHeight="1" x14ac:dyDescent="0.2">
      <c r="A18" s="37"/>
      <c r="B18" s="37"/>
      <c r="C18" s="37"/>
      <c r="E18" s="37"/>
      <c r="F18" s="37"/>
      <c r="G18" s="37"/>
    </row>
    <row r="19" spans="1:7" ht="20.100000000000001" customHeight="1" x14ac:dyDescent="0.2">
      <c r="A19" s="37"/>
      <c r="B19" s="37"/>
      <c r="C19" s="37"/>
      <c r="E19" s="37"/>
      <c r="F19" s="37"/>
      <c r="G19" s="37"/>
    </row>
    <row r="20" spans="1:7" ht="20.100000000000001" customHeight="1" x14ac:dyDescent="0.2">
      <c r="A20" s="37"/>
      <c r="B20" s="37"/>
      <c r="C20" s="37"/>
      <c r="E20" s="37"/>
      <c r="F20" s="37"/>
      <c r="G20" s="37"/>
    </row>
    <row r="21" spans="1:7" ht="20.100000000000001" customHeight="1" x14ac:dyDescent="0.2">
      <c r="A21" s="37"/>
      <c r="B21" s="37"/>
      <c r="C21" s="37"/>
      <c r="E21" s="37"/>
      <c r="F21" s="37"/>
      <c r="G21" s="37"/>
    </row>
    <row r="22" spans="1:7" ht="20.100000000000001" customHeight="1" x14ac:dyDescent="0.2">
      <c r="A22" s="37"/>
      <c r="B22" s="37"/>
      <c r="C22" s="37"/>
      <c r="E22" s="37"/>
      <c r="F22" s="37"/>
      <c r="G22" s="37"/>
    </row>
    <row r="23" spans="1:7" ht="20.100000000000001" customHeight="1" x14ac:dyDescent="0.2">
      <c r="A23" s="37"/>
      <c r="B23" s="37"/>
      <c r="C23" s="37"/>
      <c r="E23" s="37"/>
      <c r="F23" s="37"/>
      <c r="G23" s="37"/>
    </row>
    <row r="24" spans="1:7" ht="20.100000000000001" customHeight="1" x14ac:dyDescent="0.2">
      <c r="A24" s="37"/>
      <c r="B24" s="37"/>
      <c r="C24" s="37"/>
      <c r="E24" s="37"/>
      <c r="F24" s="37"/>
      <c r="G24" s="37"/>
    </row>
    <row r="25" spans="1:7" ht="20.100000000000001" customHeight="1" x14ac:dyDescent="0.2">
      <c r="A25" s="37"/>
      <c r="B25" s="37"/>
      <c r="C25" s="37"/>
      <c r="E25" s="37"/>
      <c r="F25" s="37"/>
      <c r="G25" s="37"/>
    </row>
    <row r="26" spans="1:7" ht="20.100000000000001" customHeight="1" x14ac:dyDescent="0.2">
      <c r="A26" s="37"/>
      <c r="B26" s="37"/>
      <c r="C26" s="37"/>
      <c r="E26" s="37"/>
      <c r="F26" s="37"/>
      <c r="G26" s="37"/>
    </row>
    <row r="27" spans="1:7" ht="20.100000000000001" customHeight="1" x14ac:dyDescent="0.2">
      <c r="A27" s="37"/>
      <c r="B27" s="37"/>
      <c r="C27" s="37"/>
      <c r="E27" s="37"/>
      <c r="F27" s="37"/>
      <c r="G27" s="37"/>
    </row>
    <row r="28" spans="1:7" ht="20.100000000000001" customHeight="1" x14ac:dyDescent="0.2">
      <c r="A28" s="37"/>
      <c r="B28" s="37"/>
      <c r="C28" s="37"/>
      <c r="E28" s="37"/>
      <c r="F28" s="37"/>
      <c r="G28" s="37"/>
    </row>
    <row r="29" spans="1:7" ht="20.100000000000001" customHeight="1" x14ac:dyDescent="0.2">
      <c r="A29" s="37"/>
      <c r="B29" s="37"/>
      <c r="C29" s="37"/>
      <c r="E29" s="37"/>
      <c r="F29" s="37"/>
      <c r="G29" s="37"/>
    </row>
    <row r="30" spans="1:7" ht="20.100000000000001" customHeight="1" x14ac:dyDescent="0.2">
      <c r="A30" s="37"/>
      <c r="B30" s="37"/>
      <c r="C30" s="37"/>
      <c r="E30" s="37"/>
      <c r="F30" s="37"/>
      <c r="G30" s="37"/>
    </row>
    <row r="31" spans="1:7" ht="20.100000000000001" customHeight="1" x14ac:dyDescent="0.2">
      <c r="A31" s="37"/>
      <c r="B31" s="37"/>
      <c r="C31" s="37"/>
      <c r="E31" s="37"/>
      <c r="F31" s="37"/>
      <c r="G31" s="37"/>
    </row>
    <row r="32" spans="1:7" ht="20.100000000000001" customHeight="1" x14ac:dyDescent="0.2">
      <c r="A32" s="37"/>
      <c r="B32" s="37"/>
      <c r="C32" s="37"/>
      <c r="E32" s="37"/>
      <c r="F32" s="37"/>
      <c r="G32" s="37"/>
    </row>
    <row r="33" spans="1:7" ht="20.100000000000001" customHeight="1" x14ac:dyDescent="0.2">
      <c r="A33" s="37"/>
      <c r="B33" s="37"/>
      <c r="C33" s="37"/>
      <c r="E33" s="37"/>
      <c r="F33" s="37"/>
      <c r="G33" s="37"/>
    </row>
    <row r="34" spans="1:7" ht="20.100000000000001" customHeight="1" x14ac:dyDescent="0.2">
      <c r="A34" s="37"/>
      <c r="B34" s="37"/>
      <c r="C34" s="37"/>
      <c r="E34" s="37"/>
      <c r="F34" s="37"/>
      <c r="G34" s="37"/>
    </row>
  </sheetData>
  <pageMargins left="0.23622047244094491" right="0.23622047244094491" top="0.74803149606299213" bottom="0.74803149606299213" header="0.31496062992125984" footer="0.31496062992125984"/>
  <pageSetup orientation="portrait" r:id="rId1"/>
  <headerFooter>
    <oddFooter>&amp;LDATE:________________________&amp;RPROCESS BY:____________________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CBF1-00BF-4254-B1B1-45D55657FA07}">
  <sheetPr>
    <tabColor rgb="FFFFC000"/>
  </sheetPr>
  <dimension ref="B1:AB173"/>
  <sheetViews>
    <sheetView showGridLines="0" tabSelected="1" zoomScale="115" zoomScaleNormal="115" zoomScaleSheetLayoutView="70" workbookViewId="0">
      <selection activeCell="R22" sqref="R22"/>
    </sheetView>
  </sheetViews>
  <sheetFormatPr defaultRowHeight="11.25" x14ac:dyDescent="0.2"/>
  <cols>
    <col min="1" max="1" width="4.83203125" customWidth="1"/>
    <col min="4" max="4" width="9.83203125" customWidth="1"/>
    <col min="7" max="7" width="9.6640625" customWidth="1"/>
    <col min="8" max="8" width="2.83203125" customWidth="1"/>
    <col min="10" max="10" width="9.33203125" customWidth="1"/>
    <col min="11" max="11" width="9.83203125" customWidth="1"/>
    <col min="14" max="14" width="9.33203125" customWidth="1"/>
    <col min="16" max="16" width="9.33203125" style="2"/>
    <col min="17" max="17" width="19.5" customWidth="1"/>
    <col min="18" max="19" width="16.83203125" style="1" customWidth="1"/>
    <col min="20" max="22" width="16.83203125" style="2" customWidth="1"/>
    <col min="24" max="24" width="15.83203125" bestFit="1" customWidth="1"/>
    <col min="25" max="25" width="15.83203125" style="24" bestFit="1" customWidth="1"/>
    <col min="26" max="28" width="12.5" style="24" customWidth="1"/>
  </cols>
  <sheetData>
    <row r="1" spans="2:28" x14ac:dyDescent="0.2">
      <c r="Y1"/>
      <c r="Z1"/>
    </row>
    <row r="2" spans="2:28" ht="13.5" x14ac:dyDescent="0.25">
      <c r="Q2" s="14" t="s">
        <v>37</v>
      </c>
      <c r="R2" s="38" t="s">
        <v>80</v>
      </c>
      <c r="S2" s="36"/>
      <c r="T2" s="36"/>
      <c r="U2" s="36"/>
      <c r="V2" s="36"/>
      <c r="Y2"/>
      <c r="Z2"/>
      <c r="AB2" s="26"/>
    </row>
    <row r="3" spans="2:28" ht="13.5" x14ac:dyDescent="0.25">
      <c r="Q3" s="14" t="s">
        <v>19</v>
      </c>
      <c r="R3" s="29" t="s">
        <v>31</v>
      </c>
      <c r="Z3" s="27"/>
    </row>
    <row r="4" spans="2:28" x14ac:dyDescent="0.2">
      <c r="Q4" s="13"/>
    </row>
    <row r="5" spans="2:28" x14ac:dyDescent="0.2">
      <c r="B5" s="40" t="s">
        <v>46</v>
      </c>
      <c r="C5" s="41"/>
      <c r="D5" s="40" t="str">
        <f>R2</f>
        <v>P7</v>
      </c>
      <c r="E5" s="44"/>
      <c r="F5" s="44"/>
      <c r="G5" s="41"/>
      <c r="H5" s="2"/>
      <c r="I5" s="40" t="str">
        <f>B5</f>
        <v>RC #</v>
      </c>
      <c r="J5" s="41"/>
      <c r="K5" s="40" t="str">
        <f>D5</f>
        <v>P7</v>
      </c>
      <c r="L5" s="44"/>
      <c r="M5" s="44"/>
      <c r="N5" s="41"/>
      <c r="Q5" s="30" t="s">
        <v>35</v>
      </c>
    </row>
    <row r="6" spans="2:28" x14ac:dyDescent="0.2">
      <c r="B6" s="42"/>
      <c r="C6" s="43"/>
      <c r="D6" s="42"/>
      <c r="E6" s="45"/>
      <c r="F6" s="45"/>
      <c r="G6" s="43"/>
      <c r="H6" s="2"/>
      <c r="I6" s="42"/>
      <c r="J6" s="43"/>
      <c r="K6" s="42"/>
      <c r="L6" s="45"/>
      <c r="M6" s="45"/>
      <c r="N6" s="43"/>
      <c r="P6" s="32" t="s">
        <v>40</v>
      </c>
      <c r="Q6" s="33" t="s">
        <v>39</v>
      </c>
      <c r="W6" s="3" t="s">
        <v>21</v>
      </c>
      <c r="X6" s="24"/>
    </row>
    <row r="7" spans="2:28" ht="12" x14ac:dyDescent="0.2">
      <c r="B7" s="40" t="s">
        <v>25</v>
      </c>
      <c r="C7" s="41"/>
      <c r="D7" s="46" t="str">
        <f>R3</f>
        <v>LDR</v>
      </c>
      <c r="E7" s="44"/>
      <c r="F7" s="44"/>
      <c r="G7" s="41"/>
      <c r="H7" s="2"/>
      <c r="I7" s="40" t="s">
        <v>25</v>
      </c>
      <c r="J7" s="41"/>
      <c r="K7" s="46" t="str">
        <f>D7</f>
        <v>LDR</v>
      </c>
      <c r="L7" s="44"/>
      <c r="M7" s="44"/>
      <c r="N7" s="41"/>
      <c r="P7" s="34">
        <v>1</v>
      </c>
      <c r="Q7" s="35" t="s">
        <v>70</v>
      </c>
      <c r="R7" s="1" t="s">
        <v>31</v>
      </c>
      <c r="S7" s="39" t="s">
        <v>49</v>
      </c>
      <c r="T7" s="38" t="s">
        <v>80</v>
      </c>
      <c r="W7" s="3" t="s">
        <v>7</v>
      </c>
      <c r="X7" s="31" t="s">
        <v>22</v>
      </c>
    </row>
    <row r="8" spans="2:28" ht="12" x14ac:dyDescent="0.2">
      <c r="B8" s="42"/>
      <c r="C8" s="43"/>
      <c r="D8" s="42"/>
      <c r="E8" s="45"/>
      <c r="F8" s="45"/>
      <c r="G8" s="43"/>
      <c r="H8" s="2"/>
      <c r="I8" s="42"/>
      <c r="J8" s="43"/>
      <c r="K8" s="42"/>
      <c r="L8" s="45"/>
      <c r="M8" s="45"/>
      <c r="N8" s="43"/>
      <c r="P8" s="34">
        <f t="shared" ref="P8:P26" si="0">+P7+1</f>
        <v>2</v>
      </c>
      <c r="Q8" s="35" t="s">
        <v>81</v>
      </c>
      <c r="R8" s="1" t="s">
        <v>31</v>
      </c>
      <c r="S8" s="39" t="s">
        <v>50</v>
      </c>
      <c r="T8" s="38" t="s">
        <v>80</v>
      </c>
      <c r="W8" s="3" t="s">
        <v>23</v>
      </c>
      <c r="X8" s="31" t="s">
        <v>24</v>
      </c>
    </row>
    <row r="9" spans="2:28" ht="14.25" customHeight="1" x14ac:dyDescent="0.2">
      <c r="B9" s="40" t="s">
        <v>28</v>
      </c>
      <c r="C9" s="41"/>
      <c r="D9" s="40" t="str">
        <f>MID(Q7,5,2)</f>
        <v>01</v>
      </c>
      <c r="E9" s="44"/>
      <c r="F9" s="44"/>
      <c r="G9" s="41"/>
      <c r="H9" s="2"/>
      <c r="I9" s="40" t="s">
        <v>28</v>
      </c>
      <c r="J9" s="41"/>
      <c r="K9" s="40" t="str">
        <f>MID(Q8,5,2)</f>
        <v>02</v>
      </c>
      <c r="L9" s="44"/>
      <c r="M9" s="44"/>
      <c r="N9" s="41"/>
      <c r="P9" s="34">
        <f t="shared" si="0"/>
        <v>3</v>
      </c>
      <c r="Q9" s="35" t="s">
        <v>82</v>
      </c>
      <c r="R9" s="1" t="s">
        <v>31</v>
      </c>
      <c r="S9" s="39" t="s">
        <v>51</v>
      </c>
      <c r="T9" s="38" t="s">
        <v>80</v>
      </c>
      <c r="W9" s="3" t="s">
        <v>31</v>
      </c>
      <c r="X9" s="31" t="s">
        <v>32</v>
      </c>
    </row>
    <row r="10" spans="2:28" ht="14.25" customHeight="1" x14ac:dyDescent="0.2">
      <c r="B10" s="42"/>
      <c r="C10" s="43"/>
      <c r="D10" s="42"/>
      <c r="E10" s="45"/>
      <c r="F10" s="45"/>
      <c r="G10" s="43"/>
      <c r="H10" s="2"/>
      <c r="I10" s="42"/>
      <c r="J10" s="43"/>
      <c r="K10" s="42"/>
      <c r="L10" s="45"/>
      <c r="M10" s="45"/>
      <c r="N10" s="43"/>
      <c r="P10" s="34">
        <f t="shared" si="0"/>
        <v>4</v>
      </c>
      <c r="Q10" s="35" t="s">
        <v>83</v>
      </c>
      <c r="R10" s="1" t="s">
        <v>31</v>
      </c>
      <c r="S10" s="39" t="s">
        <v>52</v>
      </c>
      <c r="T10" s="38" t="s">
        <v>80</v>
      </c>
      <c r="W10" s="3" t="s">
        <v>43</v>
      </c>
      <c r="X10" s="31" t="s">
        <v>47</v>
      </c>
    </row>
    <row r="11" spans="2:28" ht="11.25" customHeight="1" x14ac:dyDescent="0.2">
      <c r="B11" s="40" t="s">
        <v>29</v>
      </c>
      <c r="C11" s="41"/>
      <c r="D11" s="49" t="str">
        <f>_xlfn.CONCAT("*",Q7,"*")</f>
        <v>*LDR-01-P7*</v>
      </c>
      <c r="E11" s="50"/>
      <c r="F11" s="50"/>
      <c r="G11" s="51"/>
      <c r="H11" s="2"/>
      <c r="I11" s="40" t="s">
        <v>29</v>
      </c>
      <c r="J11" s="41"/>
      <c r="K11" s="49" t="str">
        <f>_xlfn.CONCAT("*",Q8,"*")</f>
        <v>*LDR-02-P7*</v>
      </c>
      <c r="L11" s="50"/>
      <c r="M11" s="50"/>
      <c r="N11" s="51"/>
      <c r="P11" s="34">
        <f t="shared" si="0"/>
        <v>5</v>
      </c>
      <c r="Q11" s="35" t="s">
        <v>84</v>
      </c>
      <c r="R11" s="1" t="s">
        <v>31</v>
      </c>
      <c r="S11" s="39" t="s">
        <v>53</v>
      </c>
      <c r="T11" s="38" t="s">
        <v>80</v>
      </c>
      <c r="W11" s="3" t="s">
        <v>34</v>
      </c>
      <c r="X11" s="31" t="s">
        <v>33</v>
      </c>
    </row>
    <row r="12" spans="2:28" ht="11.25" customHeight="1" x14ac:dyDescent="0.2">
      <c r="B12" s="42"/>
      <c r="C12" s="43"/>
      <c r="D12" s="52"/>
      <c r="E12" s="53"/>
      <c r="F12" s="53"/>
      <c r="G12" s="54"/>
      <c r="H12" s="2"/>
      <c r="I12" s="42"/>
      <c r="J12" s="43"/>
      <c r="K12" s="52"/>
      <c r="L12" s="53"/>
      <c r="M12" s="53"/>
      <c r="N12" s="54"/>
      <c r="P12" s="34">
        <f t="shared" si="0"/>
        <v>6</v>
      </c>
      <c r="Q12" s="35" t="s">
        <v>85</v>
      </c>
      <c r="R12" s="1" t="s">
        <v>31</v>
      </c>
      <c r="S12" s="39" t="s">
        <v>54</v>
      </c>
      <c r="T12" s="38" t="s">
        <v>80</v>
      </c>
      <c r="Y12"/>
      <c r="Z12"/>
      <c r="AA12"/>
      <c r="AB12"/>
    </row>
    <row r="13" spans="2:28" ht="13.5" x14ac:dyDescent="0.2">
      <c r="B13" s="47" t="s">
        <v>30</v>
      </c>
      <c r="C13" s="47"/>
      <c r="D13" s="47"/>
      <c r="E13" s="47"/>
      <c r="F13" s="47"/>
      <c r="G13" s="47"/>
      <c r="H13" s="2"/>
      <c r="I13" s="47" t="s">
        <v>30</v>
      </c>
      <c r="J13" s="47"/>
      <c r="K13" s="47"/>
      <c r="L13" s="47"/>
      <c r="M13" s="47"/>
      <c r="N13" s="47"/>
      <c r="P13" s="34">
        <f t="shared" si="0"/>
        <v>7</v>
      </c>
      <c r="Q13" s="35" t="s">
        <v>86</v>
      </c>
      <c r="R13" s="1" t="s">
        <v>31</v>
      </c>
      <c r="S13" s="39" t="s">
        <v>55</v>
      </c>
      <c r="T13" s="38" t="s">
        <v>80</v>
      </c>
      <c r="Y13"/>
      <c r="Z13"/>
      <c r="AA13"/>
      <c r="AB13"/>
    </row>
    <row r="14" spans="2:28" ht="12" x14ac:dyDescent="0.2">
      <c r="B14" s="48" t="str">
        <f>_xlfn.CONCAT(D7,"-",D9,"-",D5)</f>
        <v>LDR-01-P7</v>
      </c>
      <c r="C14" s="48"/>
      <c r="D14" s="48"/>
      <c r="E14" s="48"/>
      <c r="F14" s="48"/>
      <c r="G14" s="48"/>
      <c r="H14" s="2"/>
      <c r="I14" s="48" t="str">
        <f>_xlfn.CONCAT(K7,"-",K9,"-",K5)</f>
        <v>LDR-02-P7</v>
      </c>
      <c r="J14" s="48"/>
      <c r="K14" s="48"/>
      <c r="L14" s="48"/>
      <c r="M14" s="48"/>
      <c r="N14" s="48"/>
      <c r="P14" s="34">
        <f t="shared" si="0"/>
        <v>8</v>
      </c>
      <c r="Q14" s="35" t="s">
        <v>87</v>
      </c>
      <c r="R14" s="1" t="s">
        <v>31</v>
      </c>
      <c r="S14" s="39" t="s">
        <v>56</v>
      </c>
      <c r="T14" s="38" t="s">
        <v>80</v>
      </c>
      <c r="Y14"/>
      <c r="Z14"/>
      <c r="AA14"/>
      <c r="AB14"/>
    </row>
    <row r="15" spans="2:28" ht="12" x14ac:dyDescent="0.2">
      <c r="B15" s="48"/>
      <c r="C15" s="48"/>
      <c r="D15" s="48"/>
      <c r="E15" s="48"/>
      <c r="F15" s="48"/>
      <c r="G15" s="48"/>
      <c r="H15" s="2"/>
      <c r="I15" s="48"/>
      <c r="J15" s="48"/>
      <c r="K15" s="48"/>
      <c r="L15" s="48"/>
      <c r="M15" s="48"/>
      <c r="N15" s="48"/>
      <c r="P15" s="34">
        <f t="shared" si="0"/>
        <v>9</v>
      </c>
      <c r="Q15" s="35" t="s">
        <v>88</v>
      </c>
      <c r="R15" s="1" t="s">
        <v>31</v>
      </c>
      <c r="S15" s="39" t="s">
        <v>57</v>
      </c>
      <c r="T15" s="38" t="s">
        <v>80</v>
      </c>
      <c r="Y15"/>
      <c r="Z15"/>
      <c r="AA15"/>
      <c r="AB15"/>
    </row>
    <row r="16" spans="2:28" ht="12" x14ac:dyDescent="0.2">
      <c r="B16" s="48"/>
      <c r="C16" s="48"/>
      <c r="D16" s="48"/>
      <c r="E16" s="48"/>
      <c r="F16" s="48"/>
      <c r="G16" s="48"/>
      <c r="H16" s="2"/>
      <c r="I16" s="48"/>
      <c r="J16" s="48"/>
      <c r="K16" s="48"/>
      <c r="L16" s="48"/>
      <c r="M16" s="48"/>
      <c r="N16" s="48"/>
      <c r="P16" s="34">
        <f t="shared" si="0"/>
        <v>10</v>
      </c>
      <c r="Q16" s="35" t="s">
        <v>89</v>
      </c>
      <c r="R16" s="1" t="s">
        <v>31</v>
      </c>
      <c r="S16" s="39" t="s">
        <v>58</v>
      </c>
      <c r="T16" s="38" t="s">
        <v>80</v>
      </c>
      <c r="Y16"/>
      <c r="Z16"/>
      <c r="AA16"/>
      <c r="AB16"/>
    </row>
    <row r="17" spans="2:28" ht="12" x14ac:dyDescent="0.2">
      <c r="B17" s="48"/>
      <c r="C17" s="48"/>
      <c r="D17" s="48"/>
      <c r="E17" s="48"/>
      <c r="F17" s="48"/>
      <c r="G17" s="48"/>
      <c r="H17" s="2"/>
      <c r="I17" s="48"/>
      <c r="J17" s="48"/>
      <c r="K17" s="48"/>
      <c r="L17" s="48"/>
      <c r="M17" s="48"/>
      <c r="N17" s="48"/>
      <c r="P17" s="34">
        <f t="shared" si="0"/>
        <v>11</v>
      </c>
      <c r="Q17" s="35" t="s">
        <v>90</v>
      </c>
      <c r="R17" s="1" t="s">
        <v>31</v>
      </c>
      <c r="S17" s="39" t="s">
        <v>59</v>
      </c>
      <c r="T17" s="38" t="s">
        <v>80</v>
      </c>
      <c r="Y17"/>
      <c r="Z17"/>
      <c r="AA17"/>
      <c r="AB17"/>
    </row>
    <row r="18" spans="2:28" ht="12" x14ac:dyDescent="0.2">
      <c r="B18" s="48"/>
      <c r="C18" s="48"/>
      <c r="D18" s="48"/>
      <c r="E18" s="48"/>
      <c r="F18" s="48"/>
      <c r="G18" s="48"/>
      <c r="H18" s="2"/>
      <c r="I18" s="48"/>
      <c r="J18" s="48"/>
      <c r="K18" s="48"/>
      <c r="L18" s="48"/>
      <c r="M18" s="48"/>
      <c r="N18" s="48"/>
      <c r="P18" s="34">
        <f t="shared" si="0"/>
        <v>12</v>
      </c>
      <c r="Q18" s="35" t="s">
        <v>71</v>
      </c>
      <c r="R18" s="1" t="s">
        <v>31</v>
      </c>
      <c r="S18" s="39" t="s">
        <v>60</v>
      </c>
      <c r="T18" s="38" t="s">
        <v>80</v>
      </c>
      <c r="Y18"/>
      <c r="Z18"/>
      <c r="AA18"/>
      <c r="AB18"/>
    </row>
    <row r="19" spans="2:28" ht="12" x14ac:dyDescent="0.2">
      <c r="B19" s="48"/>
      <c r="C19" s="48"/>
      <c r="D19" s="48"/>
      <c r="E19" s="48"/>
      <c r="F19" s="48"/>
      <c r="G19" s="48"/>
      <c r="H19" s="2"/>
      <c r="I19" s="48"/>
      <c r="J19" s="48"/>
      <c r="K19" s="48"/>
      <c r="L19" s="48"/>
      <c r="M19" s="48"/>
      <c r="N19" s="48"/>
      <c r="P19" s="34">
        <f t="shared" si="0"/>
        <v>13</v>
      </c>
      <c r="Q19" s="35" t="s">
        <v>72</v>
      </c>
      <c r="R19" s="1" t="s">
        <v>31</v>
      </c>
      <c r="S19" s="39" t="s">
        <v>61</v>
      </c>
      <c r="T19" s="38" t="s">
        <v>80</v>
      </c>
    </row>
    <row r="20" spans="2:28" ht="12" x14ac:dyDescent="0.2">
      <c r="B20" s="48"/>
      <c r="C20" s="48"/>
      <c r="D20" s="48"/>
      <c r="E20" s="48"/>
      <c r="F20" s="48"/>
      <c r="G20" s="48"/>
      <c r="H20" s="2"/>
      <c r="I20" s="48"/>
      <c r="J20" s="48"/>
      <c r="K20" s="48"/>
      <c r="L20" s="48"/>
      <c r="M20" s="48"/>
      <c r="N20" s="48"/>
      <c r="P20" s="34">
        <f t="shared" si="0"/>
        <v>14</v>
      </c>
      <c r="Q20" s="35" t="s">
        <v>73</v>
      </c>
      <c r="R20" s="1" t="s">
        <v>31</v>
      </c>
      <c r="S20" s="39" t="s">
        <v>62</v>
      </c>
      <c r="T20" s="38" t="s">
        <v>80</v>
      </c>
    </row>
    <row r="21" spans="2:28" ht="12" x14ac:dyDescent="0.2">
      <c r="P21" s="34">
        <f t="shared" si="0"/>
        <v>15</v>
      </c>
      <c r="Q21" s="35" t="s">
        <v>74</v>
      </c>
      <c r="R21" s="1" t="s">
        <v>31</v>
      </c>
      <c r="S21" s="39" t="s">
        <v>63</v>
      </c>
      <c r="T21" s="38" t="s">
        <v>80</v>
      </c>
    </row>
    <row r="22" spans="2:28" ht="12" x14ac:dyDescent="0.2">
      <c r="B22" s="40" t="str">
        <f>I5</f>
        <v>RC #</v>
      </c>
      <c r="C22" s="41"/>
      <c r="D22" s="40" t="str">
        <f>K5</f>
        <v>P7</v>
      </c>
      <c r="E22" s="44"/>
      <c r="F22" s="44"/>
      <c r="G22" s="41"/>
      <c r="H22" s="2"/>
      <c r="I22" s="40" t="str">
        <f>B22</f>
        <v>RC #</v>
      </c>
      <c r="J22" s="41"/>
      <c r="K22" s="40" t="str">
        <f>D22</f>
        <v>P7</v>
      </c>
      <c r="L22" s="44"/>
      <c r="M22" s="44"/>
      <c r="N22" s="41"/>
      <c r="P22" s="34">
        <f t="shared" si="0"/>
        <v>16</v>
      </c>
      <c r="Q22" s="35" t="s">
        <v>75</v>
      </c>
      <c r="R22" s="1" t="s">
        <v>31</v>
      </c>
      <c r="S22" s="39" t="s">
        <v>64</v>
      </c>
      <c r="T22" s="38" t="s">
        <v>80</v>
      </c>
    </row>
    <row r="23" spans="2:28" ht="12" x14ac:dyDescent="0.2">
      <c r="B23" s="42"/>
      <c r="C23" s="43"/>
      <c r="D23" s="42"/>
      <c r="E23" s="45"/>
      <c r="F23" s="45"/>
      <c r="G23" s="43"/>
      <c r="H23" s="2"/>
      <c r="I23" s="42"/>
      <c r="J23" s="43"/>
      <c r="K23" s="42"/>
      <c r="L23" s="45"/>
      <c r="M23" s="45"/>
      <c r="N23" s="43"/>
      <c r="P23" s="34">
        <f t="shared" si="0"/>
        <v>17</v>
      </c>
      <c r="Q23" s="35" t="s">
        <v>76</v>
      </c>
      <c r="R23" s="1" t="s">
        <v>31</v>
      </c>
      <c r="S23" s="39" t="s">
        <v>65</v>
      </c>
      <c r="T23" s="38" t="s">
        <v>80</v>
      </c>
    </row>
    <row r="24" spans="2:28" ht="12" x14ac:dyDescent="0.2">
      <c r="B24" s="40" t="s">
        <v>25</v>
      </c>
      <c r="C24" s="41"/>
      <c r="D24" s="46" t="str">
        <f>K7</f>
        <v>LDR</v>
      </c>
      <c r="E24" s="44"/>
      <c r="F24" s="44"/>
      <c r="G24" s="41"/>
      <c r="H24" s="2"/>
      <c r="I24" s="40" t="s">
        <v>25</v>
      </c>
      <c r="J24" s="41"/>
      <c r="K24" s="46" t="str">
        <f>D24</f>
        <v>LDR</v>
      </c>
      <c r="L24" s="44"/>
      <c r="M24" s="44"/>
      <c r="N24" s="41"/>
      <c r="P24" s="34">
        <f t="shared" si="0"/>
        <v>18</v>
      </c>
      <c r="Q24" s="35" t="s">
        <v>77</v>
      </c>
      <c r="R24" s="1" t="s">
        <v>31</v>
      </c>
      <c r="S24" s="39" t="s">
        <v>66</v>
      </c>
      <c r="T24" s="38" t="s">
        <v>80</v>
      </c>
    </row>
    <row r="25" spans="2:28" ht="12" x14ac:dyDescent="0.2">
      <c r="B25" s="42"/>
      <c r="C25" s="43"/>
      <c r="D25" s="42"/>
      <c r="E25" s="45"/>
      <c r="F25" s="45"/>
      <c r="G25" s="43"/>
      <c r="H25" s="2"/>
      <c r="I25" s="42"/>
      <c r="J25" s="43"/>
      <c r="K25" s="42"/>
      <c r="L25" s="45"/>
      <c r="M25" s="45"/>
      <c r="N25" s="43"/>
      <c r="P25" s="34">
        <f t="shared" si="0"/>
        <v>19</v>
      </c>
      <c r="Q25" s="35" t="s">
        <v>78</v>
      </c>
      <c r="R25" s="1" t="s">
        <v>31</v>
      </c>
      <c r="S25" s="39" t="s">
        <v>67</v>
      </c>
      <c r="T25" s="38" t="s">
        <v>80</v>
      </c>
    </row>
    <row r="26" spans="2:28" ht="14.25" customHeight="1" x14ac:dyDescent="0.2">
      <c r="B26" s="40" t="s">
        <v>28</v>
      </c>
      <c r="C26" s="41"/>
      <c r="D26" s="40" t="str">
        <f>MID(Q9,5,2)</f>
        <v>03</v>
      </c>
      <c r="E26" s="44"/>
      <c r="F26" s="44"/>
      <c r="G26" s="41"/>
      <c r="H26" s="2"/>
      <c r="I26" s="40" t="s">
        <v>28</v>
      </c>
      <c r="J26" s="41"/>
      <c r="K26" s="40" t="str">
        <f>MID(Q10,5,2)</f>
        <v>04</v>
      </c>
      <c r="L26" s="44"/>
      <c r="M26" s="44"/>
      <c r="N26" s="41"/>
      <c r="P26" s="34">
        <f t="shared" si="0"/>
        <v>20</v>
      </c>
      <c r="Q26" s="35" t="s">
        <v>79</v>
      </c>
      <c r="R26" s="1" t="s">
        <v>31</v>
      </c>
      <c r="S26" s="39" t="s">
        <v>68</v>
      </c>
      <c r="T26" s="38" t="s">
        <v>80</v>
      </c>
    </row>
    <row r="27" spans="2:28" ht="14.25" customHeight="1" x14ac:dyDescent="0.2">
      <c r="B27" s="42"/>
      <c r="C27" s="43"/>
      <c r="D27" s="42"/>
      <c r="E27" s="45"/>
      <c r="F27" s="45"/>
      <c r="G27" s="43"/>
      <c r="H27" s="2"/>
      <c r="I27" s="42"/>
      <c r="J27" s="43"/>
      <c r="K27" s="42"/>
      <c r="L27" s="45"/>
      <c r="M27" s="45"/>
      <c r="N27" s="43"/>
      <c r="P27" s="34"/>
      <c r="Q27" s="33" t="s">
        <v>38</v>
      </c>
    </row>
    <row r="28" spans="2:28" ht="11.25" customHeight="1" x14ac:dyDescent="0.2">
      <c r="B28" s="40" t="s">
        <v>29</v>
      </c>
      <c r="C28" s="41"/>
      <c r="D28" s="49" t="str">
        <f>_xlfn.CONCAT("*",Q9,"*")</f>
        <v>*LDR-03-P7*</v>
      </c>
      <c r="E28" s="50"/>
      <c r="F28" s="50"/>
      <c r="G28" s="51"/>
      <c r="H28" s="2"/>
      <c r="I28" s="40" t="s">
        <v>29</v>
      </c>
      <c r="J28" s="41"/>
      <c r="K28" s="49" t="str">
        <f>_xlfn.CONCAT("*",Q10,"*")</f>
        <v>*LDR-04-P7*</v>
      </c>
      <c r="L28" s="50"/>
      <c r="M28" s="50"/>
      <c r="N28" s="51"/>
    </row>
    <row r="29" spans="2:28" ht="11.25" customHeight="1" x14ac:dyDescent="0.2">
      <c r="B29" s="42"/>
      <c r="C29" s="43"/>
      <c r="D29" s="52"/>
      <c r="E29" s="53"/>
      <c r="F29" s="53"/>
      <c r="G29" s="54"/>
      <c r="H29" s="2"/>
      <c r="I29" s="42"/>
      <c r="J29" s="43"/>
      <c r="K29" s="52"/>
      <c r="L29" s="53"/>
      <c r="M29" s="53"/>
      <c r="N29" s="54"/>
    </row>
    <row r="30" spans="2:28" ht="13.5" x14ac:dyDescent="0.2">
      <c r="B30" s="47" t="s">
        <v>30</v>
      </c>
      <c r="C30" s="47"/>
      <c r="D30" s="47"/>
      <c r="E30" s="47"/>
      <c r="F30" s="47"/>
      <c r="G30" s="47"/>
      <c r="H30" s="2"/>
      <c r="I30" s="47" t="s">
        <v>30</v>
      </c>
      <c r="J30" s="47"/>
      <c r="K30" s="47"/>
      <c r="L30" s="47"/>
      <c r="M30" s="47"/>
      <c r="N30" s="47"/>
    </row>
    <row r="31" spans="2:28" x14ac:dyDescent="0.2">
      <c r="B31" s="48" t="str">
        <f>_xlfn.CONCAT(D24,"-",D26,"-",D22)</f>
        <v>LDR-03-P7</v>
      </c>
      <c r="C31" s="48"/>
      <c r="D31" s="48"/>
      <c r="E31" s="48"/>
      <c r="F31" s="48"/>
      <c r="G31" s="48"/>
      <c r="H31" s="2"/>
      <c r="I31" s="48" t="str">
        <f>_xlfn.CONCAT(K24,"-",K26,"-",K22)</f>
        <v>LDR-04-P7</v>
      </c>
      <c r="J31" s="48"/>
      <c r="K31" s="48"/>
      <c r="L31" s="48"/>
      <c r="M31" s="48"/>
      <c r="N31" s="48"/>
    </row>
    <row r="32" spans="2:28" x14ac:dyDescent="0.2">
      <c r="B32" s="48"/>
      <c r="C32" s="48"/>
      <c r="D32" s="48"/>
      <c r="E32" s="48"/>
      <c r="F32" s="48"/>
      <c r="G32" s="48"/>
      <c r="H32" s="2"/>
      <c r="I32" s="48"/>
      <c r="J32" s="48"/>
      <c r="K32" s="48"/>
      <c r="L32" s="48"/>
      <c r="M32" s="48"/>
      <c r="N32" s="48"/>
    </row>
    <row r="33" spans="2:18" x14ac:dyDescent="0.2">
      <c r="B33" s="48"/>
      <c r="C33" s="48"/>
      <c r="D33" s="48"/>
      <c r="E33" s="48"/>
      <c r="F33" s="48"/>
      <c r="G33" s="48"/>
      <c r="H33" s="2"/>
      <c r="I33" s="48"/>
      <c r="J33" s="48"/>
      <c r="K33" s="48"/>
      <c r="L33" s="48"/>
      <c r="M33" s="48"/>
      <c r="N33" s="48"/>
    </row>
    <row r="34" spans="2:18" x14ac:dyDescent="0.2">
      <c r="B34" s="48"/>
      <c r="C34" s="48"/>
      <c r="D34" s="48"/>
      <c r="E34" s="48"/>
      <c r="F34" s="48"/>
      <c r="G34" s="48"/>
      <c r="H34" s="2"/>
      <c r="I34" s="48"/>
      <c r="J34" s="48"/>
      <c r="K34" s="48"/>
      <c r="L34" s="48"/>
      <c r="M34" s="48"/>
      <c r="N34" s="48"/>
    </row>
    <row r="35" spans="2:18" x14ac:dyDescent="0.2">
      <c r="B35" s="48"/>
      <c r="C35" s="48"/>
      <c r="D35" s="48"/>
      <c r="E35" s="48"/>
      <c r="F35" s="48"/>
      <c r="G35" s="48"/>
      <c r="H35" s="2"/>
      <c r="I35" s="48"/>
      <c r="J35" s="48"/>
      <c r="K35" s="48"/>
      <c r="L35" s="48"/>
      <c r="M35" s="48"/>
      <c r="N35" s="48"/>
      <c r="R35" s="1" t="s">
        <v>48</v>
      </c>
    </row>
    <row r="36" spans="2:18" x14ac:dyDescent="0.2">
      <c r="B36" s="48"/>
      <c r="C36" s="48"/>
      <c r="D36" s="48"/>
      <c r="E36" s="48"/>
      <c r="F36" s="48"/>
      <c r="G36" s="48"/>
      <c r="H36" s="2"/>
      <c r="I36" s="48"/>
      <c r="J36" s="48"/>
      <c r="K36" s="48"/>
      <c r="L36" s="48"/>
      <c r="M36" s="48"/>
      <c r="N36" s="48"/>
    </row>
    <row r="37" spans="2:18" x14ac:dyDescent="0.2">
      <c r="B37" s="48"/>
      <c r="C37" s="48"/>
      <c r="D37" s="48"/>
      <c r="E37" s="48"/>
      <c r="F37" s="48"/>
      <c r="G37" s="48"/>
      <c r="H37" s="2"/>
      <c r="I37" s="48"/>
      <c r="J37" s="48"/>
      <c r="K37" s="48"/>
      <c r="L37" s="48"/>
      <c r="M37" s="48"/>
      <c r="N37" s="48"/>
    </row>
    <row r="39" spans="2:18" x14ac:dyDescent="0.2">
      <c r="B39" s="40" t="str">
        <f>I22</f>
        <v>RC #</v>
      </c>
      <c r="C39" s="41"/>
      <c r="D39" s="40" t="str">
        <f>K22</f>
        <v>P7</v>
      </c>
      <c r="E39" s="44"/>
      <c r="F39" s="44"/>
      <c r="G39" s="41"/>
      <c r="H39" s="2"/>
      <c r="I39" s="40" t="str">
        <f>B39</f>
        <v>RC #</v>
      </c>
      <c r="J39" s="41"/>
      <c r="K39" s="40" t="str">
        <f>D39</f>
        <v>P7</v>
      </c>
      <c r="L39" s="44"/>
      <c r="M39" s="44"/>
      <c r="N39" s="41"/>
    </row>
    <row r="40" spans="2:18" x14ac:dyDescent="0.2">
      <c r="B40" s="42"/>
      <c r="C40" s="43"/>
      <c r="D40" s="42"/>
      <c r="E40" s="45"/>
      <c r="F40" s="45"/>
      <c r="G40" s="43"/>
      <c r="H40" s="2"/>
      <c r="I40" s="42"/>
      <c r="J40" s="43"/>
      <c r="K40" s="42"/>
      <c r="L40" s="45"/>
      <c r="M40" s="45"/>
      <c r="N40" s="43"/>
    </row>
    <row r="41" spans="2:18" x14ac:dyDescent="0.2">
      <c r="B41" s="40" t="s">
        <v>25</v>
      </c>
      <c r="C41" s="41"/>
      <c r="D41" s="46" t="str">
        <f>K24</f>
        <v>LDR</v>
      </c>
      <c r="E41" s="44"/>
      <c r="F41" s="44"/>
      <c r="G41" s="41"/>
      <c r="H41" s="2"/>
      <c r="I41" s="40" t="s">
        <v>25</v>
      </c>
      <c r="J41" s="41"/>
      <c r="K41" s="46" t="str">
        <f>D41</f>
        <v>LDR</v>
      </c>
      <c r="L41" s="44"/>
      <c r="M41" s="44"/>
      <c r="N41" s="41"/>
    </row>
    <row r="42" spans="2:18" x14ac:dyDescent="0.2">
      <c r="B42" s="42"/>
      <c r="C42" s="43"/>
      <c r="D42" s="42"/>
      <c r="E42" s="45"/>
      <c r="F42" s="45"/>
      <c r="G42" s="43"/>
      <c r="H42" s="2"/>
      <c r="I42" s="42"/>
      <c r="J42" s="43"/>
      <c r="K42" s="42"/>
      <c r="L42" s="45"/>
      <c r="M42" s="45"/>
      <c r="N42" s="43"/>
    </row>
    <row r="43" spans="2:18" ht="14.25" customHeight="1" x14ac:dyDescent="0.2">
      <c r="B43" s="40" t="s">
        <v>28</v>
      </c>
      <c r="C43" s="41"/>
      <c r="D43" s="40" t="str">
        <f>MID(Q11,5,2)</f>
        <v>05</v>
      </c>
      <c r="E43" s="44"/>
      <c r="F43" s="44"/>
      <c r="G43" s="41"/>
      <c r="H43" s="2"/>
      <c r="I43" s="40" t="s">
        <v>28</v>
      </c>
      <c r="J43" s="41"/>
      <c r="K43" s="40" t="str">
        <f>MID(Q12,5,2)</f>
        <v>06</v>
      </c>
      <c r="L43" s="44"/>
      <c r="M43" s="44"/>
      <c r="N43" s="41"/>
    </row>
    <row r="44" spans="2:18" ht="14.25" customHeight="1" x14ac:dyDescent="0.2">
      <c r="B44" s="42"/>
      <c r="C44" s="43"/>
      <c r="D44" s="42"/>
      <c r="E44" s="45"/>
      <c r="F44" s="45"/>
      <c r="G44" s="43"/>
      <c r="H44" s="2"/>
      <c r="I44" s="42"/>
      <c r="J44" s="43"/>
      <c r="K44" s="42"/>
      <c r="L44" s="45"/>
      <c r="M44" s="45"/>
      <c r="N44" s="43"/>
    </row>
    <row r="45" spans="2:18" ht="11.25" customHeight="1" x14ac:dyDescent="0.2">
      <c r="B45" s="40" t="s">
        <v>29</v>
      </c>
      <c r="C45" s="41"/>
      <c r="D45" s="49" t="str">
        <f>_xlfn.CONCAT("*",Q11,"*")</f>
        <v>*LDR-05-P7*</v>
      </c>
      <c r="E45" s="50"/>
      <c r="F45" s="50"/>
      <c r="G45" s="51"/>
      <c r="H45" s="2"/>
      <c r="I45" s="40" t="s">
        <v>29</v>
      </c>
      <c r="J45" s="41"/>
      <c r="K45" s="49" t="str">
        <f>_xlfn.CONCAT("*",Q12,"*")</f>
        <v>*LDR-06-P7*</v>
      </c>
      <c r="L45" s="50"/>
      <c r="M45" s="50"/>
      <c r="N45" s="51"/>
    </row>
    <row r="46" spans="2:18" ht="11.25" customHeight="1" x14ac:dyDescent="0.2">
      <c r="B46" s="42"/>
      <c r="C46" s="43"/>
      <c r="D46" s="52"/>
      <c r="E46" s="53"/>
      <c r="F46" s="53"/>
      <c r="G46" s="54"/>
      <c r="H46" s="2"/>
      <c r="I46" s="42"/>
      <c r="J46" s="43"/>
      <c r="K46" s="52"/>
      <c r="L46" s="53"/>
      <c r="M46" s="53"/>
      <c r="N46" s="54"/>
    </row>
    <row r="47" spans="2:18" ht="13.5" x14ac:dyDescent="0.2">
      <c r="B47" s="47" t="s">
        <v>30</v>
      </c>
      <c r="C47" s="47"/>
      <c r="D47" s="47"/>
      <c r="E47" s="47"/>
      <c r="F47" s="47"/>
      <c r="G47" s="47"/>
      <c r="H47" s="2"/>
      <c r="I47" s="47" t="s">
        <v>30</v>
      </c>
      <c r="J47" s="47"/>
      <c r="K47" s="47"/>
      <c r="L47" s="47"/>
      <c r="M47" s="47"/>
      <c r="N47" s="47"/>
    </row>
    <row r="48" spans="2:18" x14ac:dyDescent="0.2">
      <c r="B48" s="48" t="str">
        <f>_xlfn.CONCAT(D41,"-",D43,"-",D39)</f>
        <v>LDR-05-P7</v>
      </c>
      <c r="C48" s="48"/>
      <c r="D48" s="48"/>
      <c r="E48" s="48"/>
      <c r="F48" s="48"/>
      <c r="G48" s="48"/>
      <c r="H48" s="2"/>
      <c r="I48" s="48" t="str">
        <f>_xlfn.CONCAT(K41,"-",K43,"-",K39)</f>
        <v>LDR-06-P7</v>
      </c>
      <c r="J48" s="48"/>
      <c r="K48" s="48"/>
      <c r="L48" s="48"/>
      <c r="M48" s="48"/>
      <c r="N48" s="48"/>
    </row>
    <row r="49" spans="2:14" x14ac:dyDescent="0.2">
      <c r="B49" s="48"/>
      <c r="C49" s="48"/>
      <c r="D49" s="48"/>
      <c r="E49" s="48"/>
      <c r="F49" s="48"/>
      <c r="G49" s="48"/>
      <c r="H49" s="2"/>
      <c r="I49" s="48"/>
      <c r="J49" s="48"/>
      <c r="K49" s="48"/>
      <c r="L49" s="48"/>
      <c r="M49" s="48"/>
      <c r="N49" s="48"/>
    </row>
    <row r="50" spans="2:14" x14ac:dyDescent="0.2">
      <c r="B50" s="48"/>
      <c r="C50" s="48"/>
      <c r="D50" s="48"/>
      <c r="E50" s="48"/>
      <c r="F50" s="48"/>
      <c r="G50" s="48"/>
      <c r="H50" s="2"/>
      <c r="I50" s="48"/>
      <c r="J50" s="48"/>
      <c r="K50" s="48"/>
      <c r="L50" s="48"/>
      <c r="M50" s="48"/>
      <c r="N50" s="48"/>
    </row>
    <row r="51" spans="2:14" x14ac:dyDescent="0.2">
      <c r="B51" s="48"/>
      <c r="C51" s="48"/>
      <c r="D51" s="48"/>
      <c r="E51" s="48"/>
      <c r="F51" s="48"/>
      <c r="G51" s="48"/>
      <c r="H51" s="2"/>
      <c r="I51" s="48"/>
      <c r="J51" s="48"/>
      <c r="K51" s="48"/>
      <c r="L51" s="48"/>
      <c r="M51" s="48"/>
      <c r="N51" s="48"/>
    </row>
    <row r="52" spans="2:14" x14ac:dyDescent="0.2">
      <c r="B52" s="48"/>
      <c r="C52" s="48"/>
      <c r="D52" s="48"/>
      <c r="E52" s="48"/>
      <c r="F52" s="48"/>
      <c r="G52" s="48"/>
      <c r="H52" s="2"/>
      <c r="I52" s="48"/>
      <c r="J52" s="48"/>
      <c r="K52" s="48"/>
      <c r="L52" s="48"/>
      <c r="M52" s="48"/>
      <c r="N52" s="48"/>
    </row>
    <row r="53" spans="2:14" x14ac:dyDescent="0.2">
      <c r="B53" s="48"/>
      <c r="C53" s="48"/>
      <c r="D53" s="48"/>
      <c r="E53" s="48"/>
      <c r="F53" s="48"/>
      <c r="G53" s="48"/>
      <c r="H53" s="2"/>
      <c r="I53" s="48"/>
      <c r="J53" s="48"/>
      <c r="K53" s="48"/>
      <c r="L53" s="48"/>
      <c r="M53" s="48"/>
      <c r="N53" s="48"/>
    </row>
    <row r="54" spans="2:14" x14ac:dyDescent="0.2">
      <c r="B54" s="48"/>
      <c r="C54" s="48"/>
      <c r="D54" s="48"/>
      <c r="E54" s="48"/>
      <c r="F54" s="48"/>
      <c r="G54" s="48"/>
      <c r="H54" s="2"/>
      <c r="I54" s="48"/>
      <c r="J54" s="48"/>
      <c r="K54" s="48"/>
      <c r="L54" s="48"/>
      <c r="M54" s="48"/>
      <c r="N54" s="48"/>
    </row>
    <row r="56" spans="2:14" x14ac:dyDescent="0.2">
      <c r="B56" s="40" t="str">
        <f>I39</f>
        <v>RC #</v>
      </c>
      <c r="C56" s="41"/>
      <c r="D56" s="40" t="str">
        <f>K39</f>
        <v>P7</v>
      </c>
      <c r="E56" s="44"/>
      <c r="F56" s="44"/>
      <c r="G56" s="41"/>
      <c r="H56" s="2"/>
      <c r="I56" s="40" t="str">
        <f>B56</f>
        <v>RC #</v>
      </c>
      <c r="J56" s="41"/>
      <c r="K56" s="40" t="str">
        <f>D56</f>
        <v>P7</v>
      </c>
      <c r="L56" s="44"/>
      <c r="M56" s="44"/>
      <c r="N56" s="41"/>
    </row>
    <row r="57" spans="2:14" x14ac:dyDescent="0.2">
      <c r="B57" s="42"/>
      <c r="C57" s="43"/>
      <c r="D57" s="42"/>
      <c r="E57" s="45"/>
      <c r="F57" s="45"/>
      <c r="G57" s="43"/>
      <c r="H57" s="2"/>
      <c r="I57" s="42"/>
      <c r="J57" s="43"/>
      <c r="K57" s="42"/>
      <c r="L57" s="45"/>
      <c r="M57" s="45"/>
      <c r="N57" s="43"/>
    </row>
    <row r="58" spans="2:14" x14ac:dyDescent="0.2">
      <c r="B58" s="40" t="s">
        <v>25</v>
      </c>
      <c r="C58" s="41"/>
      <c r="D58" s="46" t="str">
        <f>K41</f>
        <v>LDR</v>
      </c>
      <c r="E58" s="44"/>
      <c r="F58" s="44"/>
      <c r="G58" s="41"/>
      <c r="H58" s="2"/>
      <c r="I58" s="40" t="s">
        <v>25</v>
      </c>
      <c r="J58" s="41"/>
      <c r="K58" s="46" t="str">
        <f>D58</f>
        <v>LDR</v>
      </c>
      <c r="L58" s="44"/>
      <c r="M58" s="44"/>
      <c r="N58" s="41"/>
    </row>
    <row r="59" spans="2:14" x14ac:dyDescent="0.2">
      <c r="B59" s="42"/>
      <c r="C59" s="43"/>
      <c r="D59" s="42"/>
      <c r="E59" s="45"/>
      <c r="F59" s="45"/>
      <c r="G59" s="43"/>
      <c r="H59" s="2"/>
      <c r="I59" s="42"/>
      <c r="J59" s="43"/>
      <c r="K59" s="42"/>
      <c r="L59" s="45"/>
      <c r="M59" s="45"/>
      <c r="N59" s="43"/>
    </row>
    <row r="60" spans="2:14" ht="14.25" customHeight="1" x14ac:dyDescent="0.2">
      <c r="B60" s="40" t="s">
        <v>28</v>
      </c>
      <c r="C60" s="41"/>
      <c r="D60" s="40" t="str">
        <f>MID(Q13,5,2)</f>
        <v>07</v>
      </c>
      <c r="E60" s="44"/>
      <c r="F60" s="44"/>
      <c r="G60" s="41"/>
      <c r="H60" s="2"/>
      <c r="I60" s="40" t="s">
        <v>28</v>
      </c>
      <c r="J60" s="41"/>
      <c r="K60" s="40" t="str">
        <f>MID(Q14,5,2)</f>
        <v>08</v>
      </c>
      <c r="L60" s="44"/>
      <c r="M60" s="44"/>
      <c r="N60" s="41"/>
    </row>
    <row r="61" spans="2:14" ht="14.25" customHeight="1" x14ac:dyDescent="0.2">
      <c r="B61" s="42"/>
      <c r="C61" s="43"/>
      <c r="D61" s="42"/>
      <c r="E61" s="45"/>
      <c r="F61" s="45"/>
      <c r="G61" s="43"/>
      <c r="H61" s="2"/>
      <c r="I61" s="42"/>
      <c r="J61" s="43"/>
      <c r="K61" s="42"/>
      <c r="L61" s="45"/>
      <c r="M61" s="45"/>
      <c r="N61" s="43"/>
    </row>
    <row r="62" spans="2:14" ht="11.25" customHeight="1" x14ac:dyDescent="0.2">
      <c r="B62" s="40" t="s">
        <v>29</v>
      </c>
      <c r="C62" s="41"/>
      <c r="D62" s="49" t="str">
        <f>_xlfn.CONCAT("*",Q13,"*")</f>
        <v>*LDR-07-P7*</v>
      </c>
      <c r="E62" s="50"/>
      <c r="F62" s="50"/>
      <c r="G62" s="51"/>
      <c r="H62" s="2"/>
      <c r="I62" s="40" t="s">
        <v>29</v>
      </c>
      <c r="J62" s="41"/>
      <c r="K62" s="49" t="str">
        <f>_xlfn.CONCAT("*",Q14,"*")</f>
        <v>*LDR-08-P7*</v>
      </c>
      <c r="L62" s="50"/>
      <c r="M62" s="50"/>
      <c r="N62" s="51"/>
    </row>
    <row r="63" spans="2:14" ht="11.25" customHeight="1" x14ac:dyDescent="0.2">
      <c r="B63" s="42"/>
      <c r="C63" s="43"/>
      <c r="D63" s="52"/>
      <c r="E63" s="53"/>
      <c r="F63" s="53"/>
      <c r="G63" s="54"/>
      <c r="H63" s="2"/>
      <c r="I63" s="42"/>
      <c r="J63" s="43"/>
      <c r="K63" s="52"/>
      <c r="L63" s="53"/>
      <c r="M63" s="53"/>
      <c r="N63" s="54"/>
    </row>
    <row r="64" spans="2:14" ht="13.5" x14ac:dyDescent="0.2">
      <c r="B64" s="47" t="s">
        <v>30</v>
      </c>
      <c r="C64" s="47"/>
      <c r="D64" s="47"/>
      <c r="E64" s="47"/>
      <c r="F64" s="47"/>
      <c r="G64" s="47"/>
      <c r="H64" s="2"/>
      <c r="I64" s="47" t="s">
        <v>30</v>
      </c>
      <c r="J64" s="47"/>
      <c r="K64" s="47"/>
      <c r="L64" s="47"/>
      <c r="M64" s="47"/>
      <c r="N64" s="47"/>
    </row>
    <row r="65" spans="2:14" x14ac:dyDescent="0.2">
      <c r="B65" s="48" t="str">
        <f>_xlfn.CONCAT(D58,"-",D60,"-",D56)</f>
        <v>LDR-07-P7</v>
      </c>
      <c r="C65" s="48"/>
      <c r="D65" s="48"/>
      <c r="E65" s="48"/>
      <c r="F65" s="48"/>
      <c r="G65" s="48"/>
      <c r="H65" s="2"/>
      <c r="I65" s="48" t="str">
        <f>_xlfn.CONCAT(K58,"-",K60,"-",K56)</f>
        <v>LDR-08-P7</v>
      </c>
      <c r="J65" s="48"/>
      <c r="K65" s="48"/>
      <c r="L65" s="48"/>
      <c r="M65" s="48"/>
      <c r="N65" s="48"/>
    </row>
    <row r="66" spans="2:14" x14ac:dyDescent="0.2">
      <c r="B66" s="48"/>
      <c r="C66" s="48"/>
      <c r="D66" s="48"/>
      <c r="E66" s="48"/>
      <c r="F66" s="48"/>
      <c r="G66" s="48"/>
      <c r="H66" s="2"/>
      <c r="I66" s="48"/>
      <c r="J66" s="48"/>
      <c r="K66" s="48"/>
      <c r="L66" s="48"/>
      <c r="M66" s="48"/>
      <c r="N66" s="48"/>
    </row>
    <row r="67" spans="2:14" x14ac:dyDescent="0.2">
      <c r="B67" s="48"/>
      <c r="C67" s="48"/>
      <c r="D67" s="48"/>
      <c r="E67" s="48"/>
      <c r="F67" s="48"/>
      <c r="G67" s="48"/>
      <c r="H67" s="2"/>
      <c r="I67" s="48"/>
      <c r="J67" s="48"/>
      <c r="K67" s="48"/>
      <c r="L67" s="48"/>
      <c r="M67" s="48"/>
      <c r="N67" s="48"/>
    </row>
    <row r="68" spans="2:14" x14ac:dyDescent="0.2">
      <c r="B68" s="48"/>
      <c r="C68" s="48"/>
      <c r="D68" s="48"/>
      <c r="E68" s="48"/>
      <c r="F68" s="48"/>
      <c r="G68" s="48"/>
      <c r="H68" s="2"/>
      <c r="I68" s="48"/>
      <c r="J68" s="48"/>
      <c r="K68" s="48"/>
      <c r="L68" s="48"/>
      <c r="M68" s="48"/>
      <c r="N68" s="48"/>
    </row>
    <row r="69" spans="2:14" x14ac:dyDescent="0.2">
      <c r="B69" s="48"/>
      <c r="C69" s="48"/>
      <c r="D69" s="48"/>
      <c r="E69" s="48"/>
      <c r="F69" s="48"/>
      <c r="G69" s="48"/>
      <c r="H69" s="2"/>
      <c r="I69" s="48"/>
      <c r="J69" s="48"/>
      <c r="K69" s="48"/>
      <c r="L69" s="48"/>
      <c r="M69" s="48"/>
      <c r="N69" s="48"/>
    </row>
    <row r="70" spans="2:14" x14ac:dyDescent="0.2">
      <c r="B70" s="48"/>
      <c r="C70" s="48"/>
      <c r="D70" s="48"/>
      <c r="E70" s="48"/>
      <c r="F70" s="48"/>
      <c r="G70" s="48"/>
      <c r="H70" s="2"/>
      <c r="I70" s="48"/>
      <c r="J70" s="48"/>
      <c r="K70" s="48"/>
      <c r="L70" s="48"/>
      <c r="M70" s="48"/>
      <c r="N70" s="48"/>
    </row>
    <row r="71" spans="2:14" x14ac:dyDescent="0.2">
      <c r="B71" s="48"/>
      <c r="C71" s="48"/>
      <c r="D71" s="48"/>
      <c r="E71" s="48"/>
      <c r="F71" s="48"/>
      <c r="G71" s="48"/>
      <c r="H71" s="2"/>
      <c r="I71" s="48"/>
      <c r="J71" s="48"/>
      <c r="K71" s="48"/>
      <c r="L71" s="48"/>
      <c r="M71" s="48"/>
      <c r="N71" s="48"/>
    </row>
    <row r="73" spans="2:14" x14ac:dyDescent="0.2">
      <c r="B73" s="40" t="str">
        <f>I56</f>
        <v>RC #</v>
      </c>
      <c r="C73" s="41"/>
      <c r="D73" s="40" t="str">
        <f>K56</f>
        <v>P7</v>
      </c>
      <c r="E73" s="44"/>
      <c r="F73" s="44"/>
      <c r="G73" s="41"/>
      <c r="H73" s="2"/>
      <c r="I73" s="40" t="str">
        <f>B73</f>
        <v>RC #</v>
      </c>
      <c r="J73" s="41"/>
      <c r="K73" s="40" t="str">
        <f>D73</f>
        <v>P7</v>
      </c>
      <c r="L73" s="44"/>
      <c r="M73" s="44"/>
      <c r="N73" s="41"/>
    </row>
    <row r="74" spans="2:14" x14ac:dyDescent="0.2">
      <c r="B74" s="42"/>
      <c r="C74" s="43"/>
      <c r="D74" s="42"/>
      <c r="E74" s="45"/>
      <c r="F74" s="45"/>
      <c r="G74" s="43"/>
      <c r="H74" s="2"/>
      <c r="I74" s="42"/>
      <c r="J74" s="43"/>
      <c r="K74" s="42"/>
      <c r="L74" s="45"/>
      <c r="M74" s="45"/>
      <c r="N74" s="43"/>
    </row>
    <row r="75" spans="2:14" x14ac:dyDescent="0.2">
      <c r="B75" s="40" t="s">
        <v>25</v>
      </c>
      <c r="C75" s="41"/>
      <c r="D75" s="46" t="str">
        <f>K58</f>
        <v>LDR</v>
      </c>
      <c r="E75" s="44"/>
      <c r="F75" s="44"/>
      <c r="G75" s="41"/>
      <c r="H75" s="2"/>
      <c r="I75" s="40" t="s">
        <v>25</v>
      </c>
      <c r="J75" s="41"/>
      <c r="K75" s="46" t="str">
        <f>D75</f>
        <v>LDR</v>
      </c>
      <c r="L75" s="44"/>
      <c r="M75" s="44"/>
      <c r="N75" s="41"/>
    </row>
    <row r="76" spans="2:14" x14ac:dyDescent="0.2">
      <c r="B76" s="42"/>
      <c r="C76" s="43"/>
      <c r="D76" s="42"/>
      <c r="E76" s="45"/>
      <c r="F76" s="45"/>
      <c r="G76" s="43"/>
      <c r="H76" s="2"/>
      <c r="I76" s="42"/>
      <c r="J76" s="43"/>
      <c r="K76" s="42"/>
      <c r="L76" s="45"/>
      <c r="M76" s="45"/>
      <c r="N76" s="43"/>
    </row>
    <row r="77" spans="2:14" ht="14.25" customHeight="1" x14ac:dyDescent="0.2">
      <c r="B77" s="40" t="s">
        <v>28</v>
      </c>
      <c r="C77" s="41"/>
      <c r="D77" s="40" t="str">
        <f>MID(Q15,5,2)</f>
        <v>09</v>
      </c>
      <c r="E77" s="44"/>
      <c r="F77" s="44"/>
      <c r="G77" s="41"/>
      <c r="H77" s="2"/>
      <c r="I77" s="40" t="s">
        <v>28</v>
      </c>
      <c r="J77" s="41"/>
      <c r="K77" s="40" t="str">
        <f>MID(Q16,5,2)</f>
        <v>10</v>
      </c>
      <c r="L77" s="44"/>
      <c r="M77" s="44"/>
      <c r="N77" s="41"/>
    </row>
    <row r="78" spans="2:14" ht="14.25" customHeight="1" x14ac:dyDescent="0.2">
      <c r="B78" s="42"/>
      <c r="C78" s="43"/>
      <c r="D78" s="42"/>
      <c r="E78" s="45"/>
      <c r="F78" s="45"/>
      <c r="G78" s="43"/>
      <c r="H78" s="2"/>
      <c r="I78" s="42"/>
      <c r="J78" s="43"/>
      <c r="K78" s="42"/>
      <c r="L78" s="45"/>
      <c r="M78" s="45"/>
      <c r="N78" s="43"/>
    </row>
    <row r="79" spans="2:14" ht="11.25" customHeight="1" x14ac:dyDescent="0.2">
      <c r="B79" s="40" t="s">
        <v>29</v>
      </c>
      <c r="C79" s="41"/>
      <c r="D79" s="49" t="str">
        <f>_xlfn.CONCAT("*",Q15,"*")</f>
        <v>*LDR-09-P7*</v>
      </c>
      <c r="E79" s="50"/>
      <c r="F79" s="50"/>
      <c r="G79" s="51"/>
      <c r="H79" s="2"/>
      <c r="I79" s="40" t="s">
        <v>29</v>
      </c>
      <c r="J79" s="41"/>
      <c r="K79" s="49" t="str">
        <f>_xlfn.CONCAT("*",Q16,"*")</f>
        <v>*LDR-10-P7*</v>
      </c>
      <c r="L79" s="50"/>
      <c r="M79" s="50"/>
      <c r="N79" s="51"/>
    </row>
    <row r="80" spans="2:14" ht="11.25" customHeight="1" x14ac:dyDescent="0.2">
      <c r="B80" s="42"/>
      <c r="C80" s="43"/>
      <c r="D80" s="52"/>
      <c r="E80" s="53"/>
      <c r="F80" s="53"/>
      <c r="G80" s="54"/>
      <c r="H80" s="2"/>
      <c r="I80" s="42"/>
      <c r="J80" s="43"/>
      <c r="K80" s="52"/>
      <c r="L80" s="53"/>
      <c r="M80" s="53"/>
      <c r="N80" s="54"/>
    </row>
    <row r="81" spans="2:14" ht="13.5" x14ac:dyDescent="0.2">
      <c r="B81" s="47" t="s">
        <v>30</v>
      </c>
      <c r="C81" s="47"/>
      <c r="D81" s="47"/>
      <c r="E81" s="47"/>
      <c r="F81" s="47"/>
      <c r="G81" s="47"/>
      <c r="H81" s="2"/>
      <c r="I81" s="47" t="s">
        <v>30</v>
      </c>
      <c r="J81" s="47"/>
      <c r="K81" s="47"/>
      <c r="L81" s="47"/>
      <c r="M81" s="47"/>
      <c r="N81" s="47"/>
    </row>
    <row r="82" spans="2:14" x14ac:dyDescent="0.2">
      <c r="B82" s="48" t="str">
        <f>_xlfn.CONCAT(D75,"-",D77,"-",D73)</f>
        <v>LDR-09-P7</v>
      </c>
      <c r="C82" s="48"/>
      <c r="D82" s="48"/>
      <c r="E82" s="48"/>
      <c r="F82" s="48"/>
      <c r="G82" s="48"/>
      <c r="H82" s="2"/>
      <c r="I82" s="48" t="str">
        <f>_xlfn.CONCAT(K75,"-",K77,"-",K73)</f>
        <v>LDR-10-P7</v>
      </c>
      <c r="J82" s="48"/>
      <c r="K82" s="48"/>
      <c r="L82" s="48"/>
      <c r="M82" s="48"/>
      <c r="N82" s="48"/>
    </row>
    <row r="83" spans="2:14" x14ac:dyDescent="0.2">
      <c r="B83" s="48"/>
      <c r="C83" s="48"/>
      <c r="D83" s="48"/>
      <c r="E83" s="48"/>
      <c r="F83" s="48"/>
      <c r="G83" s="48"/>
      <c r="H83" s="2"/>
      <c r="I83" s="48"/>
      <c r="J83" s="48"/>
      <c r="K83" s="48"/>
      <c r="L83" s="48"/>
      <c r="M83" s="48"/>
      <c r="N83" s="48"/>
    </row>
    <row r="84" spans="2:14" x14ac:dyDescent="0.2">
      <c r="B84" s="48"/>
      <c r="C84" s="48"/>
      <c r="D84" s="48"/>
      <c r="E84" s="48"/>
      <c r="F84" s="48"/>
      <c r="G84" s="48"/>
      <c r="H84" s="2"/>
      <c r="I84" s="48"/>
      <c r="J84" s="48"/>
      <c r="K84" s="48"/>
      <c r="L84" s="48"/>
      <c r="M84" s="48"/>
      <c r="N84" s="48"/>
    </row>
    <row r="85" spans="2:14" x14ac:dyDescent="0.2">
      <c r="B85" s="48"/>
      <c r="C85" s="48"/>
      <c r="D85" s="48"/>
      <c r="E85" s="48"/>
      <c r="F85" s="48"/>
      <c r="G85" s="48"/>
      <c r="H85" s="2"/>
      <c r="I85" s="48"/>
      <c r="J85" s="48"/>
      <c r="K85" s="48"/>
      <c r="L85" s="48"/>
      <c r="M85" s="48"/>
      <c r="N85" s="48"/>
    </row>
    <row r="86" spans="2:14" x14ac:dyDescent="0.2">
      <c r="B86" s="48"/>
      <c r="C86" s="48"/>
      <c r="D86" s="48"/>
      <c r="E86" s="48"/>
      <c r="F86" s="48"/>
      <c r="G86" s="48"/>
      <c r="H86" s="2"/>
      <c r="I86" s="48"/>
      <c r="J86" s="48"/>
      <c r="K86" s="48"/>
      <c r="L86" s="48"/>
      <c r="M86" s="48"/>
      <c r="N86" s="48"/>
    </row>
    <row r="87" spans="2:14" x14ac:dyDescent="0.2">
      <c r="B87" s="48"/>
      <c r="C87" s="48"/>
      <c r="D87" s="48"/>
      <c r="E87" s="48"/>
      <c r="F87" s="48"/>
      <c r="G87" s="48"/>
      <c r="H87" s="2"/>
      <c r="I87" s="48"/>
      <c r="J87" s="48"/>
      <c r="K87" s="48"/>
      <c r="L87" s="48"/>
      <c r="M87" s="48"/>
      <c r="N87" s="48"/>
    </row>
    <row r="88" spans="2:14" x14ac:dyDescent="0.2">
      <c r="B88" s="48"/>
      <c r="C88" s="48"/>
      <c r="D88" s="48"/>
      <c r="E88" s="48"/>
      <c r="F88" s="48"/>
      <c r="G88" s="48"/>
      <c r="H88" s="2"/>
      <c r="I88" s="48"/>
      <c r="J88" s="48"/>
      <c r="K88" s="48"/>
      <c r="L88" s="48"/>
      <c r="M88" s="48"/>
      <c r="N88" s="48"/>
    </row>
    <row r="90" spans="2:14" x14ac:dyDescent="0.2">
      <c r="B90" s="40" t="str">
        <f>I73</f>
        <v>RC #</v>
      </c>
      <c r="C90" s="41"/>
      <c r="D90" s="40" t="str">
        <f>K73</f>
        <v>P7</v>
      </c>
      <c r="E90" s="44"/>
      <c r="F90" s="44"/>
      <c r="G90" s="41"/>
      <c r="H90" s="2"/>
      <c r="I90" s="40" t="str">
        <f>B90</f>
        <v>RC #</v>
      </c>
      <c r="J90" s="41"/>
      <c r="K90" s="40" t="str">
        <f>D90</f>
        <v>P7</v>
      </c>
      <c r="L90" s="44"/>
      <c r="M90" s="44"/>
      <c r="N90" s="41"/>
    </row>
    <row r="91" spans="2:14" x14ac:dyDescent="0.2">
      <c r="B91" s="42"/>
      <c r="C91" s="43"/>
      <c r="D91" s="42"/>
      <c r="E91" s="45"/>
      <c r="F91" s="45"/>
      <c r="G91" s="43"/>
      <c r="H91" s="2"/>
      <c r="I91" s="42"/>
      <c r="J91" s="43"/>
      <c r="K91" s="42"/>
      <c r="L91" s="45"/>
      <c r="M91" s="45"/>
      <c r="N91" s="43"/>
    </row>
    <row r="92" spans="2:14" x14ac:dyDescent="0.2">
      <c r="B92" s="40" t="s">
        <v>25</v>
      </c>
      <c r="C92" s="41"/>
      <c r="D92" s="46" t="str">
        <f>K75</f>
        <v>LDR</v>
      </c>
      <c r="E92" s="44"/>
      <c r="F92" s="44"/>
      <c r="G92" s="41"/>
      <c r="H92" s="2"/>
      <c r="I92" s="40" t="s">
        <v>25</v>
      </c>
      <c r="J92" s="41"/>
      <c r="K92" s="46" t="str">
        <f>D92</f>
        <v>LDR</v>
      </c>
      <c r="L92" s="44"/>
      <c r="M92" s="44"/>
      <c r="N92" s="41"/>
    </row>
    <row r="93" spans="2:14" x14ac:dyDescent="0.2">
      <c r="B93" s="42"/>
      <c r="C93" s="43"/>
      <c r="D93" s="42"/>
      <c r="E93" s="45"/>
      <c r="F93" s="45"/>
      <c r="G93" s="43"/>
      <c r="H93" s="2"/>
      <c r="I93" s="42"/>
      <c r="J93" s="43"/>
      <c r="K93" s="42"/>
      <c r="L93" s="45"/>
      <c r="M93" s="45"/>
      <c r="N93" s="43"/>
    </row>
    <row r="94" spans="2:14" ht="14.25" customHeight="1" x14ac:dyDescent="0.2">
      <c r="B94" s="40" t="s">
        <v>28</v>
      </c>
      <c r="C94" s="41"/>
      <c r="D94" s="40" t="str">
        <f>MID(Q17,5,2)</f>
        <v>11</v>
      </c>
      <c r="E94" s="44"/>
      <c r="F94" s="44"/>
      <c r="G94" s="41"/>
      <c r="H94" s="2"/>
      <c r="I94" s="40" t="s">
        <v>28</v>
      </c>
      <c r="J94" s="41"/>
      <c r="K94" s="40" t="str">
        <f>MID(Q18,5,2)</f>
        <v>12</v>
      </c>
      <c r="L94" s="44"/>
      <c r="M94" s="44"/>
      <c r="N94" s="41"/>
    </row>
    <row r="95" spans="2:14" ht="14.25" customHeight="1" x14ac:dyDescent="0.2">
      <c r="B95" s="42"/>
      <c r="C95" s="43"/>
      <c r="D95" s="42"/>
      <c r="E95" s="45"/>
      <c r="F95" s="45"/>
      <c r="G95" s="43"/>
      <c r="H95" s="2"/>
      <c r="I95" s="42"/>
      <c r="J95" s="43"/>
      <c r="K95" s="42"/>
      <c r="L95" s="45"/>
      <c r="M95" s="45"/>
      <c r="N95" s="43"/>
    </row>
    <row r="96" spans="2:14" ht="11.25" customHeight="1" x14ac:dyDescent="0.2">
      <c r="B96" s="40" t="s">
        <v>29</v>
      </c>
      <c r="C96" s="41"/>
      <c r="D96" s="49" t="str">
        <f>_xlfn.CONCAT("*",Q17,"*")</f>
        <v>*LDR-11-P7*</v>
      </c>
      <c r="E96" s="50"/>
      <c r="F96" s="50"/>
      <c r="G96" s="51"/>
      <c r="H96" s="2"/>
      <c r="I96" s="40" t="s">
        <v>29</v>
      </c>
      <c r="J96" s="41"/>
      <c r="K96" s="49" t="str">
        <f>_xlfn.CONCAT("*",Q18,"*")</f>
        <v>*LDR-12-P6*</v>
      </c>
      <c r="L96" s="50"/>
      <c r="M96" s="50"/>
      <c r="N96" s="51"/>
    </row>
    <row r="97" spans="2:14" ht="11.25" customHeight="1" x14ac:dyDescent="0.2">
      <c r="B97" s="42"/>
      <c r="C97" s="43"/>
      <c r="D97" s="52"/>
      <c r="E97" s="53"/>
      <c r="F97" s="53"/>
      <c r="G97" s="54"/>
      <c r="H97" s="2"/>
      <c r="I97" s="42"/>
      <c r="J97" s="43"/>
      <c r="K97" s="52"/>
      <c r="L97" s="53"/>
      <c r="M97" s="53"/>
      <c r="N97" s="54"/>
    </row>
    <row r="98" spans="2:14" ht="13.5" x14ac:dyDescent="0.2">
      <c r="B98" s="47" t="s">
        <v>30</v>
      </c>
      <c r="C98" s="47"/>
      <c r="D98" s="47"/>
      <c r="E98" s="47"/>
      <c r="F98" s="47"/>
      <c r="G98" s="47"/>
      <c r="H98" s="2"/>
      <c r="I98" s="47" t="s">
        <v>30</v>
      </c>
      <c r="J98" s="47"/>
      <c r="K98" s="47"/>
      <c r="L98" s="47"/>
      <c r="M98" s="47"/>
      <c r="N98" s="47"/>
    </row>
    <row r="99" spans="2:14" x14ac:dyDescent="0.2">
      <c r="B99" s="48" t="str">
        <f>_xlfn.CONCAT(D92,"-",D94,"-",D90)</f>
        <v>LDR-11-P7</v>
      </c>
      <c r="C99" s="48"/>
      <c r="D99" s="48"/>
      <c r="E99" s="48"/>
      <c r="F99" s="48"/>
      <c r="G99" s="48"/>
      <c r="H99" s="2"/>
      <c r="I99" s="48" t="str">
        <f>_xlfn.CONCAT(K92,"-",K94,"-",K90)</f>
        <v>LDR-12-P7</v>
      </c>
      <c r="J99" s="48"/>
      <c r="K99" s="48"/>
      <c r="L99" s="48"/>
      <c r="M99" s="48"/>
      <c r="N99" s="48"/>
    </row>
    <row r="100" spans="2:14" x14ac:dyDescent="0.2">
      <c r="B100" s="48"/>
      <c r="C100" s="48"/>
      <c r="D100" s="48"/>
      <c r="E100" s="48"/>
      <c r="F100" s="48"/>
      <c r="G100" s="48"/>
      <c r="H100" s="2"/>
      <c r="I100" s="48"/>
      <c r="J100" s="48"/>
      <c r="K100" s="48"/>
      <c r="L100" s="48"/>
      <c r="M100" s="48"/>
      <c r="N100" s="48"/>
    </row>
    <row r="101" spans="2:14" x14ac:dyDescent="0.2">
      <c r="B101" s="48"/>
      <c r="C101" s="48"/>
      <c r="D101" s="48"/>
      <c r="E101" s="48"/>
      <c r="F101" s="48"/>
      <c r="G101" s="48"/>
      <c r="H101" s="2"/>
      <c r="I101" s="48"/>
      <c r="J101" s="48"/>
      <c r="K101" s="48"/>
      <c r="L101" s="48"/>
      <c r="M101" s="48"/>
      <c r="N101" s="48"/>
    </row>
    <row r="102" spans="2:14" x14ac:dyDescent="0.2">
      <c r="B102" s="48"/>
      <c r="C102" s="48"/>
      <c r="D102" s="48"/>
      <c r="E102" s="48"/>
      <c r="F102" s="48"/>
      <c r="G102" s="48"/>
      <c r="H102" s="2"/>
      <c r="I102" s="48"/>
      <c r="J102" s="48"/>
      <c r="K102" s="48"/>
      <c r="L102" s="48"/>
      <c r="M102" s="48"/>
      <c r="N102" s="48"/>
    </row>
    <row r="103" spans="2:14" x14ac:dyDescent="0.2">
      <c r="B103" s="48"/>
      <c r="C103" s="48"/>
      <c r="D103" s="48"/>
      <c r="E103" s="48"/>
      <c r="F103" s="48"/>
      <c r="G103" s="48"/>
      <c r="H103" s="2"/>
      <c r="I103" s="48"/>
      <c r="J103" s="48"/>
      <c r="K103" s="48"/>
      <c r="L103" s="48"/>
      <c r="M103" s="48"/>
      <c r="N103" s="48"/>
    </row>
    <row r="104" spans="2:14" x14ac:dyDescent="0.2">
      <c r="B104" s="48"/>
      <c r="C104" s="48"/>
      <c r="D104" s="48"/>
      <c r="E104" s="48"/>
      <c r="F104" s="48"/>
      <c r="G104" s="48"/>
      <c r="H104" s="2"/>
      <c r="I104" s="48"/>
      <c r="J104" s="48"/>
      <c r="K104" s="48"/>
      <c r="L104" s="48"/>
      <c r="M104" s="48"/>
      <c r="N104" s="48"/>
    </row>
    <row r="105" spans="2:14" x14ac:dyDescent="0.2">
      <c r="B105" s="48"/>
      <c r="C105" s="48"/>
      <c r="D105" s="48"/>
      <c r="E105" s="48"/>
      <c r="F105" s="48"/>
      <c r="G105" s="48"/>
      <c r="H105" s="2"/>
      <c r="I105" s="48"/>
      <c r="J105" s="48"/>
      <c r="K105" s="48"/>
      <c r="L105" s="48"/>
      <c r="M105" s="48"/>
      <c r="N105" s="48"/>
    </row>
    <row r="107" spans="2:14" x14ac:dyDescent="0.2">
      <c r="B107" s="40" t="str">
        <f>I90</f>
        <v>RC #</v>
      </c>
      <c r="C107" s="41"/>
      <c r="D107" s="40" t="str">
        <f>K90</f>
        <v>P7</v>
      </c>
      <c r="E107" s="44"/>
      <c r="F107" s="44"/>
      <c r="G107" s="41"/>
      <c r="H107" s="2"/>
      <c r="I107" s="40" t="str">
        <f>B107</f>
        <v>RC #</v>
      </c>
      <c r="J107" s="41"/>
      <c r="K107" s="40" t="str">
        <f>D107</f>
        <v>P7</v>
      </c>
      <c r="L107" s="44"/>
      <c r="M107" s="44"/>
      <c r="N107" s="41"/>
    </row>
    <row r="108" spans="2:14" x14ac:dyDescent="0.2">
      <c r="B108" s="42"/>
      <c r="C108" s="43"/>
      <c r="D108" s="42"/>
      <c r="E108" s="45"/>
      <c r="F108" s="45"/>
      <c r="G108" s="43"/>
      <c r="H108" s="2"/>
      <c r="I108" s="42"/>
      <c r="J108" s="43"/>
      <c r="K108" s="42"/>
      <c r="L108" s="45"/>
      <c r="M108" s="45"/>
      <c r="N108" s="43"/>
    </row>
    <row r="109" spans="2:14" x14ac:dyDescent="0.2">
      <c r="B109" s="40" t="s">
        <v>25</v>
      </c>
      <c r="C109" s="41"/>
      <c r="D109" s="46" t="str">
        <f>K92</f>
        <v>LDR</v>
      </c>
      <c r="E109" s="44"/>
      <c r="F109" s="44"/>
      <c r="G109" s="41"/>
      <c r="H109" s="2"/>
      <c r="I109" s="40" t="s">
        <v>25</v>
      </c>
      <c r="J109" s="41"/>
      <c r="K109" s="46" t="str">
        <f>D109</f>
        <v>LDR</v>
      </c>
      <c r="L109" s="44"/>
      <c r="M109" s="44"/>
      <c r="N109" s="41"/>
    </row>
    <row r="110" spans="2:14" x14ac:dyDescent="0.2">
      <c r="B110" s="42"/>
      <c r="C110" s="43"/>
      <c r="D110" s="42"/>
      <c r="E110" s="45"/>
      <c r="F110" s="45"/>
      <c r="G110" s="43"/>
      <c r="H110" s="2"/>
      <c r="I110" s="42"/>
      <c r="J110" s="43"/>
      <c r="K110" s="42"/>
      <c r="L110" s="45"/>
      <c r="M110" s="45"/>
      <c r="N110" s="43"/>
    </row>
    <row r="111" spans="2:14" ht="14.25" customHeight="1" x14ac:dyDescent="0.2">
      <c r="B111" s="40" t="s">
        <v>28</v>
      </c>
      <c r="C111" s="41"/>
      <c r="D111" s="40" t="str">
        <f>MID(Q19,5,2)</f>
        <v>13</v>
      </c>
      <c r="E111" s="44"/>
      <c r="F111" s="44"/>
      <c r="G111" s="41"/>
      <c r="H111" s="2"/>
      <c r="I111" s="40" t="s">
        <v>28</v>
      </c>
      <c r="J111" s="41"/>
      <c r="K111" s="40" t="str">
        <f>MID(Q20,5,2)</f>
        <v>14</v>
      </c>
      <c r="L111" s="44"/>
      <c r="M111" s="44"/>
      <c r="N111" s="41"/>
    </row>
    <row r="112" spans="2:14" ht="14.25" customHeight="1" x14ac:dyDescent="0.2">
      <c r="B112" s="42"/>
      <c r="C112" s="43"/>
      <c r="D112" s="42"/>
      <c r="E112" s="45"/>
      <c r="F112" s="45"/>
      <c r="G112" s="43"/>
      <c r="H112" s="2"/>
      <c r="I112" s="42"/>
      <c r="J112" s="43"/>
      <c r="K112" s="42"/>
      <c r="L112" s="45"/>
      <c r="M112" s="45"/>
      <c r="N112" s="43"/>
    </row>
    <row r="113" spans="2:14" ht="11.25" customHeight="1" x14ac:dyDescent="0.2">
      <c r="B113" s="40" t="s">
        <v>29</v>
      </c>
      <c r="C113" s="41"/>
      <c r="D113" s="49" t="str">
        <f>_xlfn.CONCAT("*",Q19,"*")</f>
        <v>*LDR-13-P6*</v>
      </c>
      <c r="E113" s="50"/>
      <c r="F113" s="50"/>
      <c r="G113" s="51"/>
      <c r="H113" s="2"/>
      <c r="I113" s="40" t="s">
        <v>29</v>
      </c>
      <c r="J113" s="41"/>
      <c r="K113" s="49" t="str">
        <f>_xlfn.CONCAT("*",Q20,"*")</f>
        <v>*LDR-14-P6*</v>
      </c>
      <c r="L113" s="50"/>
      <c r="M113" s="50"/>
      <c r="N113" s="51"/>
    </row>
    <row r="114" spans="2:14" ht="11.25" customHeight="1" x14ac:dyDescent="0.2">
      <c r="B114" s="42"/>
      <c r="C114" s="43"/>
      <c r="D114" s="52"/>
      <c r="E114" s="53"/>
      <c r="F114" s="53"/>
      <c r="G114" s="54"/>
      <c r="H114" s="2"/>
      <c r="I114" s="42"/>
      <c r="J114" s="43"/>
      <c r="K114" s="52"/>
      <c r="L114" s="53"/>
      <c r="M114" s="53"/>
      <c r="N114" s="54"/>
    </row>
    <row r="115" spans="2:14" ht="13.5" x14ac:dyDescent="0.2">
      <c r="B115" s="47" t="s">
        <v>30</v>
      </c>
      <c r="C115" s="47"/>
      <c r="D115" s="47"/>
      <c r="E115" s="47"/>
      <c r="F115" s="47"/>
      <c r="G115" s="47"/>
      <c r="H115" s="2"/>
      <c r="I115" s="47" t="s">
        <v>30</v>
      </c>
      <c r="J115" s="47"/>
      <c r="K115" s="47"/>
      <c r="L115" s="47"/>
      <c r="M115" s="47"/>
      <c r="N115" s="47"/>
    </row>
    <row r="116" spans="2:14" x14ac:dyDescent="0.2">
      <c r="B116" s="48" t="str">
        <f>_xlfn.CONCAT(D109,"-",D111,"-",D107)</f>
        <v>LDR-13-P7</v>
      </c>
      <c r="C116" s="48"/>
      <c r="D116" s="48"/>
      <c r="E116" s="48"/>
      <c r="F116" s="48"/>
      <c r="G116" s="48"/>
      <c r="H116" s="2"/>
      <c r="I116" s="48" t="str">
        <f>_xlfn.CONCAT(K109,"-",K111,"-",K107)</f>
        <v>LDR-14-P7</v>
      </c>
      <c r="J116" s="48"/>
      <c r="K116" s="48"/>
      <c r="L116" s="48"/>
      <c r="M116" s="48"/>
      <c r="N116" s="48"/>
    </row>
    <row r="117" spans="2:14" x14ac:dyDescent="0.2">
      <c r="B117" s="48"/>
      <c r="C117" s="48"/>
      <c r="D117" s="48"/>
      <c r="E117" s="48"/>
      <c r="F117" s="48"/>
      <c r="G117" s="48"/>
      <c r="H117" s="2"/>
      <c r="I117" s="48"/>
      <c r="J117" s="48"/>
      <c r="K117" s="48"/>
      <c r="L117" s="48"/>
      <c r="M117" s="48"/>
      <c r="N117" s="48"/>
    </row>
    <row r="118" spans="2:14" x14ac:dyDescent="0.2">
      <c r="B118" s="48"/>
      <c r="C118" s="48"/>
      <c r="D118" s="48"/>
      <c r="E118" s="48"/>
      <c r="F118" s="48"/>
      <c r="G118" s="48"/>
      <c r="H118" s="2"/>
      <c r="I118" s="48"/>
      <c r="J118" s="48"/>
      <c r="K118" s="48"/>
      <c r="L118" s="48"/>
      <c r="M118" s="48"/>
      <c r="N118" s="48"/>
    </row>
    <row r="119" spans="2:14" x14ac:dyDescent="0.2">
      <c r="B119" s="48"/>
      <c r="C119" s="48"/>
      <c r="D119" s="48"/>
      <c r="E119" s="48"/>
      <c r="F119" s="48"/>
      <c r="G119" s="48"/>
      <c r="H119" s="2"/>
      <c r="I119" s="48"/>
      <c r="J119" s="48"/>
      <c r="K119" s="48"/>
      <c r="L119" s="48"/>
      <c r="M119" s="48"/>
      <c r="N119" s="48"/>
    </row>
    <row r="120" spans="2:14" x14ac:dyDescent="0.2">
      <c r="B120" s="48"/>
      <c r="C120" s="48"/>
      <c r="D120" s="48"/>
      <c r="E120" s="48"/>
      <c r="F120" s="48"/>
      <c r="G120" s="48"/>
      <c r="H120" s="2"/>
      <c r="I120" s="48"/>
      <c r="J120" s="48"/>
      <c r="K120" s="48"/>
      <c r="L120" s="48"/>
      <c r="M120" s="48"/>
      <c r="N120" s="48"/>
    </row>
    <row r="121" spans="2:14" x14ac:dyDescent="0.2">
      <c r="B121" s="48"/>
      <c r="C121" s="48"/>
      <c r="D121" s="48"/>
      <c r="E121" s="48"/>
      <c r="F121" s="48"/>
      <c r="G121" s="48"/>
      <c r="H121" s="2"/>
      <c r="I121" s="48"/>
      <c r="J121" s="48"/>
      <c r="K121" s="48"/>
      <c r="L121" s="48"/>
      <c r="M121" s="48"/>
      <c r="N121" s="48"/>
    </row>
    <row r="122" spans="2:14" x14ac:dyDescent="0.2">
      <c r="B122" s="48"/>
      <c r="C122" s="48"/>
      <c r="D122" s="48"/>
      <c r="E122" s="48"/>
      <c r="F122" s="48"/>
      <c r="G122" s="48"/>
      <c r="H122" s="2"/>
      <c r="I122" s="48"/>
      <c r="J122" s="48"/>
      <c r="K122" s="48"/>
      <c r="L122" s="48"/>
      <c r="M122" s="48"/>
      <c r="N122" s="48"/>
    </row>
    <row r="124" spans="2:14" x14ac:dyDescent="0.2">
      <c r="B124" s="40" t="str">
        <f>I107</f>
        <v>RC #</v>
      </c>
      <c r="C124" s="41"/>
      <c r="D124" s="40" t="str">
        <f>K107</f>
        <v>P7</v>
      </c>
      <c r="E124" s="44"/>
      <c r="F124" s="44"/>
      <c r="G124" s="41"/>
      <c r="H124" s="2"/>
      <c r="I124" s="40" t="str">
        <f>B124</f>
        <v>RC #</v>
      </c>
      <c r="J124" s="41"/>
      <c r="K124" s="40" t="str">
        <f>D124</f>
        <v>P7</v>
      </c>
      <c r="L124" s="44"/>
      <c r="M124" s="44"/>
      <c r="N124" s="41"/>
    </row>
    <row r="125" spans="2:14" x14ac:dyDescent="0.2">
      <c r="B125" s="42"/>
      <c r="C125" s="43"/>
      <c r="D125" s="42"/>
      <c r="E125" s="45"/>
      <c r="F125" s="45"/>
      <c r="G125" s="43"/>
      <c r="H125" s="2"/>
      <c r="I125" s="42"/>
      <c r="J125" s="43"/>
      <c r="K125" s="42"/>
      <c r="L125" s="45"/>
      <c r="M125" s="45"/>
      <c r="N125" s="43"/>
    </row>
    <row r="126" spans="2:14" x14ac:dyDescent="0.2">
      <c r="B126" s="40" t="s">
        <v>25</v>
      </c>
      <c r="C126" s="41"/>
      <c r="D126" s="46" t="str">
        <f>K109</f>
        <v>LDR</v>
      </c>
      <c r="E126" s="44"/>
      <c r="F126" s="44"/>
      <c r="G126" s="41"/>
      <c r="H126" s="2"/>
      <c r="I126" s="40" t="s">
        <v>25</v>
      </c>
      <c r="J126" s="41"/>
      <c r="K126" s="46" t="str">
        <f>D126</f>
        <v>LDR</v>
      </c>
      <c r="L126" s="44"/>
      <c r="M126" s="44"/>
      <c r="N126" s="41"/>
    </row>
    <row r="127" spans="2:14" x14ac:dyDescent="0.2">
      <c r="B127" s="42"/>
      <c r="C127" s="43"/>
      <c r="D127" s="42"/>
      <c r="E127" s="45"/>
      <c r="F127" s="45"/>
      <c r="G127" s="43"/>
      <c r="H127" s="2"/>
      <c r="I127" s="42"/>
      <c r="J127" s="43"/>
      <c r="K127" s="42"/>
      <c r="L127" s="45"/>
      <c r="M127" s="45"/>
      <c r="N127" s="43"/>
    </row>
    <row r="128" spans="2:14" ht="14.25" customHeight="1" x14ac:dyDescent="0.2">
      <c r="B128" s="40" t="s">
        <v>28</v>
      </c>
      <c r="C128" s="41"/>
      <c r="D128" s="40" t="str">
        <f>MID(Q21,5,2)</f>
        <v>15</v>
      </c>
      <c r="E128" s="44"/>
      <c r="F128" s="44"/>
      <c r="G128" s="41"/>
      <c r="H128" s="2"/>
      <c r="I128" s="40" t="s">
        <v>28</v>
      </c>
      <c r="J128" s="41"/>
      <c r="K128" s="40" t="str">
        <f>MID(Q22,5,2)</f>
        <v>16</v>
      </c>
      <c r="L128" s="44"/>
      <c r="M128" s="44"/>
      <c r="N128" s="41"/>
    </row>
    <row r="129" spans="2:14" ht="14.25" customHeight="1" x14ac:dyDescent="0.2">
      <c r="B129" s="42"/>
      <c r="C129" s="43"/>
      <c r="D129" s="42"/>
      <c r="E129" s="45"/>
      <c r="F129" s="45"/>
      <c r="G129" s="43"/>
      <c r="H129" s="2"/>
      <c r="I129" s="42"/>
      <c r="J129" s="43"/>
      <c r="K129" s="42"/>
      <c r="L129" s="45"/>
      <c r="M129" s="45"/>
      <c r="N129" s="43"/>
    </row>
    <row r="130" spans="2:14" ht="11.25" customHeight="1" x14ac:dyDescent="0.2">
      <c r="B130" s="40" t="s">
        <v>29</v>
      </c>
      <c r="C130" s="41"/>
      <c r="D130" s="49" t="str">
        <f>_xlfn.CONCAT("*",Q21,"*")</f>
        <v>*LDR-15-P6*</v>
      </c>
      <c r="E130" s="50"/>
      <c r="F130" s="50"/>
      <c r="G130" s="51"/>
      <c r="H130" s="2"/>
      <c r="I130" s="40" t="s">
        <v>29</v>
      </c>
      <c r="J130" s="41"/>
      <c r="K130" s="49" t="str">
        <f>_xlfn.CONCAT("*",Q22,"*")</f>
        <v>*LDR-16-P6*</v>
      </c>
      <c r="L130" s="50"/>
      <c r="M130" s="50"/>
      <c r="N130" s="51"/>
    </row>
    <row r="131" spans="2:14" ht="11.25" customHeight="1" x14ac:dyDescent="0.2">
      <c r="B131" s="42"/>
      <c r="C131" s="43"/>
      <c r="D131" s="52"/>
      <c r="E131" s="53"/>
      <c r="F131" s="53"/>
      <c r="G131" s="54"/>
      <c r="H131" s="2"/>
      <c r="I131" s="42"/>
      <c r="J131" s="43"/>
      <c r="K131" s="52"/>
      <c r="L131" s="53"/>
      <c r="M131" s="53"/>
      <c r="N131" s="54"/>
    </row>
    <row r="132" spans="2:14" ht="13.5" x14ac:dyDescent="0.2">
      <c r="B132" s="47" t="s">
        <v>30</v>
      </c>
      <c r="C132" s="47"/>
      <c r="D132" s="47"/>
      <c r="E132" s="47"/>
      <c r="F132" s="47"/>
      <c r="G132" s="47"/>
      <c r="H132" s="2"/>
      <c r="I132" s="47" t="s">
        <v>30</v>
      </c>
      <c r="J132" s="47"/>
      <c r="K132" s="47"/>
      <c r="L132" s="47"/>
      <c r="M132" s="47"/>
      <c r="N132" s="47"/>
    </row>
    <row r="133" spans="2:14" x14ac:dyDescent="0.2">
      <c r="B133" s="48" t="str">
        <f>_xlfn.CONCAT(D126,"-",D128,"-",D124)</f>
        <v>LDR-15-P7</v>
      </c>
      <c r="C133" s="48"/>
      <c r="D133" s="48"/>
      <c r="E133" s="48"/>
      <c r="F133" s="48"/>
      <c r="G133" s="48"/>
      <c r="H133" s="2"/>
      <c r="I133" s="48" t="str">
        <f>_xlfn.CONCAT(K126,"-",K128,"-",K124)</f>
        <v>LDR-16-P7</v>
      </c>
      <c r="J133" s="48"/>
      <c r="K133" s="48"/>
      <c r="L133" s="48"/>
      <c r="M133" s="48"/>
      <c r="N133" s="48"/>
    </row>
    <row r="134" spans="2:14" x14ac:dyDescent="0.2">
      <c r="B134" s="48"/>
      <c r="C134" s="48"/>
      <c r="D134" s="48"/>
      <c r="E134" s="48"/>
      <c r="F134" s="48"/>
      <c r="G134" s="48"/>
      <c r="H134" s="2"/>
      <c r="I134" s="48"/>
      <c r="J134" s="48"/>
      <c r="K134" s="48"/>
      <c r="L134" s="48"/>
      <c r="M134" s="48"/>
      <c r="N134" s="48"/>
    </row>
    <row r="135" spans="2:14" x14ac:dyDescent="0.2">
      <c r="B135" s="48"/>
      <c r="C135" s="48"/>
      <c r="D135" s="48"/>
      <c r="E135" s="48"/>
      <c r="F135" s="48"/>
      <c r="G135" s="48"/>
      <c r="H135" s="2"/>
      <c r="I135" s="48"/>
      <c r="J135" s="48"/>
      <c r="K135" s="48"/>
      <c r="L135" s="48"/>
      <c r="M135" s="48"/>
      <c r="N135" s="48"/>
    </row>
    <row r="136" spans="2:14" x14ac:dyDescent="0.2">
      <c r="B136" s="48"/>
      <c r="C136" s="48"/>
      <c r="D136" s="48"/>
      <c r="E136" s="48"/>
      <c r="F136" s="48"/>
      <c r="G136" s="48"/>
      <c r="H136" s="2"/>
      <c r="I136" s="48"/>
      <c r="J136" s="48"/>
      <c r="K136" s="48"/>
      <c r="L136" s="48"/>
      <c r="M136" s="48"/>
      <c r="N136" s="48"/>
    </row>
    <row r="137" spans="2:14" x14ac:dyDescent="0.2">
      <c r="B137" s="48"/>
      <c r="C137" s="48"/>
      <c r="D137" s="48"/>
      <c r="E137" s="48"/>
      <c r="F137" s="48"/>
      <c r="G137" s="48"/>
      <c r="H137" s="2"/>
      <c r="I137" s="48"/>
      <c r="J137" s="48"/>
      <c r="K137" s="48"/>
      <c r="L137" s="48"/>
      <c r="M137" s="48"/>
      <c r="N137" s="48"/>
    </row>
    <row r="138" spans="2:14" x14ac:dyDescent="0.2">
      <c r="B138" s="48"/>
      <c r="C138" s="48"/>
      <c r="D138" s="48"/>
      <c r="E138" s="48"/>
      <c r="F138" s="48"/>
      <c r="G138" s="48"/>
      <c r="H138" s="2"/>
      <c r="I138" s="48"/>
      <c r="J138" s="48"/>
      <c r="K138" s="48"/>
      <c r="L138" s="48"/>
      <c r="M138" s="48"/>
      <c r="N138" s="48"/>
    </row>
    <row r="139" spans="2:14" x14ac:dyDescent="0.2">
      <c r="B139" s="48"/>
      <c r="C139" s="48"/>
      <c r="D139" s="48"/>
      <c r="E139" s="48"/>
      <c r="F139" s="48"/>
      <c r="G139" s="48"/>
      <c r="H139" s="2"/>
      <c r="I139" s="48"/>
      <c r="J139" s="48"/>
      <c r="K139" s="48"/>
      <c r="L139" s="48"/>
      <c r="M139" s="48"/>
      <c r="N139" s="48"/>
    </row>
    <row r="141" spans="2:14" x14ac:dyDescent="0.2">
      <c r="B141" s="40" t="str">
        <f>I124</f>
        <v>RC #</v>
      </c>
      <c r="C141" s="41"/>
      <c r="D141" s="40" t="str">
        <f>K124</f>
        <v>P7</v>
      </c>
      <c r="E141" s="44"/>
      <c r="F141" s="44"/>
      <c r="G141" s="41"/>
      <c r="H141" s="2"/>
      <c r="I141" s="40" t="str">
        <f>B141</f>
        <v>RC #</v>
      </c>
      <c r="J141" s="41"/>
      <c r="K141" s="40" t="str">
        <f>D141</f>
        <v>P7</v>
      </c>
      <c r="L141" s="44"/>
      <c r="M141" s="44"/>
      <c r="N141" s="41"/>
    </row>
    <row r="142" spans="2:14" x14ac:dyDescent="0.2">
      <c r="B142" s="42"/>
      <c r="C142" s="43"/>
      <c r="D142" s="42"/>
      <c r="E142" s="45"/>
      <c r="F142" s="45"/>
      <c r="G142" s="43"/>
      <c r="H142" s="2"/>
      <c r="I142" s="42"/>
      <c r="J142" s="43"/>
      <c r="K142" s="42"/>
      <c r="L142" s="45"/>
      <c r="M142" s="45"/>
      <c r="N142" s="43"/>
    </row>
    <row r="143" spans="2:14" x14ac:dyDescent="0.2">
      <c r="B143" s="40" t="s">
        <v>25</v>
      </c>
      <c r="C143" s="41"/>
      <c r="D143" s="46" t="str">
        <f>K126</f>
        <v>LDR</v>
      </c>
      <c r="E143" s="44"/>
      <c r="F143" s="44"/>
      <c r="G143" s="41"/>
      <c r="H143" s="2"/>
      <c r="I143" s="40" t="s">
        <v>25</v>
      </c>
      <c r="J143" s="41"/>
      <c r="K143" s="46" t="str">
        <f>D143</f>
        <v>LDR</v>
      </c>
      <c r="L143" s="44"/>
      <c r="M143" s="44"/>
      <c r="N143" s="41"/>
    </row>
    <row r="144" spans="2:14" x14ac:dyDescent="0.2">
      <c r="B144" s="42"/>
      <c r="C144" s="43"/>
      <c r="D144" s="42"/>
      <c r="E144" s="45"/>
      <c r="F144" s="45"/>
      <c r="G144" s="43"/>
      <c r="H144" s="2"/>
      <c r="I144" s="42"/>
      <c r="J144" s="43"/>
      <c r="K144" s="42"/>
      <c r="L144" s="45"/>
      <c r="M144" s="45"/>
      <c r="N144" s="43"/>
    </row>
    <row r="145" spans="2:14" ht="14.25" customHeight="1" x14ac:dyDescent="0.2">
      <c r="B145" s="40" t="s">
        <v>28</v>
      </c>
      <c r="C145" s="41"/>
      <c r="D145" s="40" t="str">
        <f>MID(Q23,5,2)</f>
        <v>17</v>
      </c>
      <c r="E145" s="44"/>
      <c r="F145" s="44"/>
      <c r="G145" s="41"/>
      <c r="H145" s="2"/>
      <c r="I145" s="40" t="s">
        <v>28</v>
      </c>
      <c r="J145" s="41"/>
      <c r="K145" s="40" t="str">
        <f>MID(Q24,5,2)</f>
        <v>18</v>
      </c>
      <c r="L145" s="44"/>
      <c r="M145" s="44"/>
      <c r="N145" s="41"/>
    </row>
    <row r="146" spans="2:14" ht="14.25" customHeight="1" x14ac:dyDescent="0.2">
      <c r="B146" s="42"/>
      <c r="C146" s="43"/>
      <c r="D146" s="42"/>
      <c r="E146" s="45"/>
      <c r="F146" s="45"/>
      <c r="G146" s="43"/>
      <c r="H146" s="2"/>
      <c r="I146" s="42"/>
      <c r="J146" s="43"/>
      <c r="K146" s="42"/>
      <c r="L146" s="45"/>
      <c r="M146" s="45"/>
      <c r="N146" s="43"/>
    </row>
    <row r="147" spans="2:14" ht="11.25" customHeight="1" x14ac:dyDescent="0.2">
      <c r="B147" s="40" t="s">
        <v>29</v>
      </c>
      <c r="C147" s="41"/>
      <c r="D147" s="49" t="str">
        <f>_xlfn.CONCAT("*",Q23,"*")</f>
        <v>*LDR-17-P6*</v>
      </c>
      <c r="E147" s="50"/>
      <c r="F147" s="50"/>
      <c r="G147" s="51"/>
      <c r="H147" s="2"/>
      <c r="I147" s="40" t="s">
        <v>29</v>
      </c>
      <c r="J147" s="41"/>
      <c r="K147" s="49" t="str">
        <f>_xlfn.CONCAT("*",Q24,"*")</f>
        <v>*LDR-18-P6*</v>
      </c>
      <c r="L147" s="50"/>
      <c r="M147" s="50"/>
      <c r="N147" s="51"/>
    </row>
    <row r="148" spans="2:14" ht="11.25" customHeight="1" x14ac:dyDescent="0.2">
      <c r="B148" s="42"/>
      <c r="C148" s="43"/>
      <c r="D148" s="52"/>
      <c r="E148" s="53"/>
      <c r="F148" s="53"/>
      <c r="G148" s="54"/>
      <c r="H148" s="2"/>
      <c r="I148" s="42"/>
      <c r="J148" s="43"/>
      <c r="K148" s="52"/>
      <c r="L148" s="53"/>
      <c r="M148" s="53"/>
      <c r="N148" s="54"/>
    </row>
    <row r="149" spans="2:14" ht="13.5" x14ac:dyDescent="0.2">
      <c r="B149" s="47" t="s">
        <v>30</v>
      </c>
      <c r="C149" s="47"/>
      <c r="D149" s="47"/>
      <c r="E149" s="47"/>
      <c r="F149" s="47"/>
      <c r="G149" s="47"/>
      <c r="H149" s="2"/>
      <c r="I149" s="47" t="s">
        <v>30</v>
      </c>
      <c r="J149" s="47"/>
      <c r="K149" s="47"/>
      <c r="L149" s="47"/>
      <c r="M149" s="47"/>
      <c r="N149" s="47"/>
    </row>
    <row r="150" spans="2:14" x14ac:dyDescent="0.2">
      <c r="B150" s="48" t="str">
        <f>_xlfn.CONCAT(D143,"-",D145,"-",D141)</f>
        <v>LDR-17-P7</v>
      </c>
      <c r="C150" s="48"/>
      <c r="D150" s="48"/>
      <c r="E150" s="48"/>
      <c r="F150" s="48"/>
      <c r="G150" s="48"/>
      <c r="H150" s="2"/>
      <c r="I150" s="48" t="str">
        <f>_xlfn.CONCAT(K143,"-",K145,"-",K141)</f>
        <v>LDR-18-P7</v>
      </c>
      <c r="J150" s="48"/>
      <c r="K150" s="48"/>
      <c r="L150" s="48"/>
      <c r="M150" s="48"/>
      <c r="N150" s="48"/>
    </row>
    <row r="151" spans="2:14" x14ac:dyDescent="0.2">
      <c r="B151" s="48"/>
      <c r="C151" s="48"/>
      <c r="D151" s="48"/>
      <c r="E151" s="48"/>
      <c r="F151" s="48"/>
      <c r="G151" s="48"/>
      <c r="H151" s="2"/>
      <c r="I151" s="48"/>
      <c r="J151" s="48"/>
      <c r="K151" s="48"/>
      <c r="L151" s="48"/>
      <c r="M151" s="48"/>
      <c r="N151" s="48"/>
    </row>
    <row r="152" spans="2:14" x14ac:dyDescent="0.2">
      <c r="B152" s="48"/>
      <c r="C152" s="48"/>
      <c r="D152" s="48"/>
      <c r="E152" s="48"/>
      <c r="F152" s="48"/>
      <c r="G152" s="48"/>
      <c r="H152" s="2"/>
      <c r="I152" s="48"/>
      <c r="J152" s="48"/>
      <c r="K152" s="48"/>
      <c r="L152" s="48"/>
      <c r="M152" s="48"/>
      <c r="N152" s="48"/>
    </row>
    <row r="153" spans="2:14" x14ac:dyDescent="0.2">
      <c r="B153" s="48"/>
      <c r="C153" s="48"/>
      <c r="D153" s="48"/>
      <c r="E153" s="48"/>
      <c r="F153" s="48"/>
      <c r="G153" s="48"/>
      <c r="H153" s="2"/>
      <c r="I153" s="48"/>
      <c r="J153" s="48"/>
      <c r="K153" s="48"/>
      <c r="L153" s="48"/>
      <c r="M153" s="48"/>
      <c r="N153" s="48"/>
    </row>
    <row r="154" spans="2:14" x14ac:dyDescent="0.2">
      <c r="B154" s="48"/>
      <c r="C154" s="48"/>
      <c r="D154" s="48"/>
      <c r="E154" s="48"/>
      <c r="F154" s="48"/>
      <c r="G154" s="48"/>
      <c r="H154" s="2"/>
      <c r="I154" s="48"/>
      <c r="J154" s="48"/>
      <c r="K154" s="48"/>
      <c r="L154" s="48"/>
      <c r="M154" s="48"/>
      <c r="N154" s="48"/>
    </row>
    <row r="155" spans="2:14" x14ac:dyDescent="0.2">
      <c r="B155" s="48"/>
      <c r="C155" s="48"/>
      <c r="D155" s="48"/>
      <c r="E155" s="48"/>
      <c r="F155" s="48"/>
      <c r="G155" s="48"/>
      <c r="H155" s="2"/>
      <c r="I155" s="48"/>
      <c r="J155" s="48"/>
      <c r="K155" s="48"/>
      <c r="L155" s="48"/>
      <c r="M155" s="48"/>
      <c r="N155" s="48"/>
    </row>
    <row r="156" spans="2:14" x14ac:dyDescent="0.2">
      <c r="B156" s="48"/>
      <c r="C156" s="48"/>
      <c r="D156" s="48"/>
      <c r="E156" s="48"/>
      <c r="F156" s="48"/>
      <c r="G156" s="48"/>
      <c r="H156" s="2"/>
      <c r="I156" s="48"/>
      <c r="J156" s="48"/>
      <c r="K156" s="48"/>
      <c r="L156" s="48"/>
      <c r="M156" s="48"/>
      <c r="N156" s="48"/>
    </row>
    <row r="158" spans="2:14" x14ac:dyDescent="0.2">
      <c r="B158" s="40" t="str">
        <f>I141</f>
        <v>RC #</v>
      </c>
      <c r="C158" s="41"/>
      <c r="D158" s="40" t="str">
        <f>K141</f>
        <v>P7</v>
      </c>
      <c r="E158" s="44"/>
      <c r="F158" s="44"/>
      <c r="G158" s="41"/>
      <c r="H158" s="2"/>
      <c r="I158" s="40" t="str">
        <f>B158</f>
        <v>RC #</v>
      </c>
      <c r="J158" s="41"/>
      <c r="K158" s="40" t="str">
        <f>D158</f>
        <v>P7</v>
      </c>
      <c r="L158" s="44"/>
      <c r="M158" s="44"/>
      <c r="N158" s="41"/>
    </row>
    <row r="159" spans="2:14" x14ac:dyDescent="0.2">
      <c r="B159" s="42"/>
      <c r="C159" s="43"/>
      <c r="D159" s="42"/>
      <c r="E159" s="45"/>
      <c r="F159" s="45"/>
      <c r="G159" s="43"/>
      <c r="H159" s="2"/>
      <c r="I159" s="42"/>
      <c r="J159" s="43"/>
      <c r="K159" s="42"/>
      <c r="L159" s="45"/>
      <c r="M159" s="45"/>
      <c r="N159" s="43"/>
    </row>
    <row r="160" spans="2:14" x14ac:dyDescent="0.2">
      <c r="B160" s="40" t="s">
        <v>25</v>
      </c>
      <c r="C160" s="41"/>
      <c r="D160" s="46" t="str">
        <f>K143</f>
        <v>LDR</v>
      </c>
      <c r="E160" s="44"/>
      <c r="F160" s="44"/>
      <c r="G160" s="41"/>
      <c r="H160" s="2"/>
      <c r="I160" s="40" t="s">
        <v>25</v>
      </c>
      <c r="J160" s="41"/>
      <c r="K160" s="46" t="str">
        <f>D160</f>
        <v>LDR</v>
      </c>
      <c r="L160" s="44"/>
      <c r="M160" s="44"/>
      <c r="N160" s="41"/>
    </row>
    <row r="161" spans="2:14" x14ac:dyDescent="0.2">
      <c r="B161" s="42"/>
      <c r="C161" s="43"/>
      <c r="D161" s="42"/>
      <c r="E161" s="45"/>
      <c r="F161" s="45"/>
      <c r="G161" s="43"/>
      <c r="H161" s="2"/>
      <c r="I161" s="42"/>
      <c r="J161" s="43"/>
      <c r="K161" s="42"/>
      <c r="L161" s="45"/>
      <c r="M161" s="45"/>
      <c r="N161" s="43"/>
    </row>
    <row r="162" spans="2:14" ht="14.25" customHeight="1" x14ac:dyDescent="0.2">
      <c r="B162" s="40" t="s">
        <v>28</v>
      </c>
      <c r="C162" s="41"/>
      <c r="D162" s="40" t="str">
        <f>MID(Q25,5,2)</f>
        <v>19</v>
      </c>
      <c r="E162" s="44"/>
      <c r="F162" s="44"/>
      <c r="G162" s="41"/>
      <c r="H162" s="2"/>
      <c r="I162" s="40" t="s">
        <v>28</v>
      </c>
      <c r="J162" s="41"/>
      <c r="K162" s="40" t="str">
        <f>MID(Q26,5,2)</f>
        <v>20</v>
      </c>
      <c r="L162" s="44"/>
      <c r="M162" s="44"/>
      <c r="N162" s="41"/>
    </row>
    <row r="163" spans="2:14" ht="14.25" customHeight="1" x14ac:dyDescent="0.2">
      <c r="B163" s="42"/>
      <c r="C163" s="43"/>
      <c r="D163" s="42"/>
      <c r="E163" s="45"/>
      <c r="F163" s="45"/>
      <c r="G163" s="43"/>
      <c r="H163" s="2"/>
      <c r="I163" s="42"/>
      <c r="J163" s="43"/>
      <c r="K163" s="42"/>
      <c r="L163" s="45"/>
      <c r="M163" s="45"/>
      <c r="N163" s="43"/>
    </row>
    <row r="164" spans="2:14" ht="11.25" customHeight="1" x14ac:dyDescent="0.2">
      <c r="B164" s="40" t="s">
        <v>29</v>
      </c>
      <c r="C164" s="41"/>
      <c r="D164" s="49" t="str">
        <f>_xlfn.CONCAT("*",Q25,"*")</f>
        <v>*LDR-19-P6*</v>
      </c>
      <c r="E164" s="50"/>
      <c r="F164" s="50"/>
      <c r="G164" s="51"/>
      <c r="H164" s="2"/>
      <c r="I164" s="40" t="s">
        <v>29</v>
      </c>
      <c r="J164" s="41"/>
      <c r="K164" s="49" t="str">
        <f>_xlfn.CONCAT("*",Q26,"*")</f>
        <v>*LDR-20-P6*</v>
      </c>
      <c r="L164" s="50"/>
      <c r="M164" s="50"/>
      <c r="N164" s="51"/>
    </row>
    <row r="165" spans="2:14" ht="11.25" customHeight="1" x14ac:dyDescent="0.2">
      <c r="B165" s="42"/>
      <c r="C165" s="43"/>
      <c r="D165" s="52"/>
      <c r="E165" s="53"/>
      <c r="F165" s="53"/>
      <c r="G165" s="54"/>
      <c r="H165" s="2"/>
      <c r="I165" s="42"/>
      <c r="J165" s="43"/>
      <c r="K165" s="52"/>
      <c r="L165" s="53"/>
      <c r="M165" s="53"/>
      <c r="N165" s="54"/>
    </row>
    <row r="166" spans="2:14" ht="13.5" x14ac:dyDescent="0.2">
      <c r="B166" s="47" t="s">
        <v>30</v>
      </c>
      <c r="C166" s="47"/>
      <c r="D166" s="47"/>
      <c r="E166" s="47"/>
      <c r="F166" s="47"/>
      <c r="G166" s="47"/>
      <c r="H166" s="2"/>
      <c r="I166" s="47" t="s">
        <v>30</v>
      </c>
      <c r="J166" s="47"/>
      <c r="K166" s="47"/>
      <c r="L166" s="47"/>
      <c r="M166" s="47"/>
      <c r="N166" s="47"/>
    </row>
    <row r="167" spans="2:14" x14ac:dyDescent="0.2">
      <c r="B167" s="48" t="str">
        <f>_xlfn.CONCAT(D160,"-",D162,"-",D158)</f>
        <v>LDR-19-P7</v>
      </c>
      <c r="C167" s="48"/>
      <c r="D167" s="48"/>
      <c r="E167" s="48"/>
      <c r="F167" s="48"/>
      <c r="G167" s="48"/>
      <c r="H167" s="2"/>
      <c r="I167" s="48" t="str">
        <f>_xlfn.CONCAT(K160,"-",K162,"-",K158)</f>
        <v>LDR-20-P7</v>
      </c>
      <c r="J167" s="48"/>
      <c r="K167" s="48"/>
      <c r="L167" s="48"/>
      <c r="M167" s="48"/>
      <c r="N167" s="48"/>
    </row>
    <row r="168" spans="2:14" x14ac:dyDescent="0.2">
      <c r="B168" s="48"/>
      <c r="C168" s="48"/>
      <c r="D168" s="48"/>
      <c r="E168" s="48"/>
      <c r="F168" s="48"/>
      <c r="G168" s="48"/>
      <c r="H168" s="2"/>
      <c r="I168" s="48"/>
      <c r="J168" s="48"/>
      <c r="K168" s="48"/>
      <c r="L168" s="48"/>
      <c r="M168" s="48"/>
      <c r="N168" s="48"/>
    </row>
    <row r="169" spans="2:14" x14ac:dyDescent="0.2">
      <c r="B169" s="48"/>
      <c r="C169" s="48"/>
      <c r="D169" s="48"/>
      <c r="E169" s="48"/>
      <c r="F169" s="48"/>
      <c r="G169" s="48"/>
      <c r="H169" s="2"/>
      <c r="I169" s="48"/>
      <c r="J169" s="48"/>
      <c r="K169" s="48"/>
      <c r="L169" s="48"/>
      <c r="M169" s="48"/>
      <c r="N169" s="48"/>
    </row>
    <row r="170" spans="2:14" x14ac:dyDescent="0.2">
      <c r="B170" s="48"/>
      <c r="C170" s="48"/>
      <c r="D170" s="48"/>
      <c r="E170" s="48"/>
      <c r="F170" s="48"/>
      <c r="G170" s="48"/>
      <c r="H170" s="2"/>
      <c r="I170" s="48"/>
      <c r="J170" s="48"/>
      <c r="K170" s="48"/>
      <c r="L170" s="48"/>
      <c r="M170" s="48"/>
      <c r="N170" s="48"/>
    </row>
    <row r="171" spans="2:14" x14ac:dyDescent="0.2">
      <c r="B171" s="48"/>
      <c r="C171" s="48"/>
      <c r="D171" s="48"/>
      <c r="E171" s="48"/>
      <c r="F171" s="48"/>
      <c r="G171" s="48"/>
      <c r="H171" s="2"/>
      <c r="I171" s="48"/>
      <c r="J171" s="48"/>
      <c r="K171" s="48"/>
      <c r="L171" s="48"/>
      <c r="M171" s="48"/>
      <c r="N171" s="48"/>
    </row>
    <row r="172" spans="2:14" x14ac:dyDescent="0.2">
      <c r="B172" s="48"/>
      <c r="C172" s="48"/>
      <c r="D172" s="48"/>
      <c r="E172" s="48"/>
      <c r="F172" s="48"/>
      <c r="G172" s="48"/>
      <c r="H172" s="2"/>
      <c r="I172" s="48"/>
      <c r="J172" s="48"/>
      <c r="K172" s="48"/>
      <c r="L172" s="48"/>
      <c r="M172" s="48"/>
      <c r="N172" s="48"/>
    </row>
    <row r="173" spans="2:14" x14ac:dyDescent="0.2">
      <c r="B173" s="48"/>
      <c r="C173" s="48"/>
      <c r="D173" s="48"/>
      <c r="E173" s="48"/>
      <c r="F173" s="48"/>
      <c r="G173" s="48"/>
      <c r="H173" s="2"/>
      <c r="I173" s="48"/>
      <c r="J173" s="48"/>
      <c r="K173" s="48"/>
      <c r="L173" s="48"/>
      <c r="M173" s="48"/>
      <c r="N173" s="48"/>
    </row>
  </sheetData>
  <mergeCells count="200">
    <mergeCell ref="B167:G173"/>
    <mergeCell ref="I167:N173"/>
    <mergeCell ref="B164:C165"/>
    <mergeCell ref="D164:G165"/>
    <mergeCell ref="I164:J165"/>
    <mergeCell ref="K164:N165"/>
    <mergeCell ref="B166:G166"/>
    <mergeCell ref="I166:N166"/>
    <mergeCell ref="B160:C161"/>
    <mergeCell ref="D160:G161"/>
    <mergeCell ref="I160:J161"/>
    <mergeCell ref="K160:N161"/>
    <mergeCell ref="B162:C163"/>
    <mergeCell ref="D162:G163"/>
    <mergeCell ref="I162:J163"/>
    <mergeCell ref="K162:N163"/>
    <mergeCell ref="B150:G156"/>
    <mergeCell ref="I150:N156"/>
    <mergeCell ref="B158:C159"/>
    <mergeCell ref="D158:G159"/>
    <mergeCell ref="I158:J159"/>
    <mergeCell ref="K158:N159"/>
    <mergeCell ref="B147:C148"/>
    <mergeCell ref="D147:G148"/>
    <mergeCell ref="I147:J148"/>
    <mergeCell ref="K147:N148"/>
    <mergeCell ref="B149:G149"/>
    <mergeCell ref="I149:N149"/>
    <mergeCell ref="B143:C144"/>
    <mergeCell ref="D143:G144"/>
    <mergeCell ref="I143:J144"/>
    <mergeCell ref="K143:N144"/>
    <mergeCell ref="B145:C146"/>
    <mergeCell ref="D145:G146"/>
    <mergeCell ref="I145:J146"/>
    <mergeCell ref="K145:N146"/>
    <mergeCell ref="B133:G139"/>
    <mergeCell ref="I133:N139"/>
    <mergeCell ref="B141:C142"/>
    <mergeCell ref="D141:G142"/>
    <mergeCell ref="I141:J142"/>
    <mergeCell ref="K141:N142"/>
    <mergeCell ref="B130:C131"/>
    <mergeCell ref="D130:G131"/>
    <mergeCell ref="I130:J131"/>
    <mergeCell ref="K130:N131"/>
    <mergeCell ref="B132:G132"/>
    <mergeCell ref="I132:N132"/>
    <mergeCell ref="B126:C127"/>
    <mergeCell ref="D126:G127"/>
    <mergeCell ref="I126:J127"/>
    <mergeCell ref="K126:N127"/>
    <mergeCell ref="B128:C129"/>
    <mergeCell ref="D128:G129"/>
    <mergeCell ref="I128:J129"/>
    <mergeCell ref="K128:N129"/>
    <mergeCell ref="B116:G122"/>
    <mergeCell ref="I116:N122"/>
    <mergeCell ref="B124:C125"/>
    <mergeCell ref="D124:G125"/>
    <mergeCell ref="I124:J125"/>
    <mergeCell ref="K124:N125"/>
    <mergeCell ref="B113:C114"/>
    <mergeCell ref="D113:G114"/>
    <mergeCell ref="I113:J114"/>
    <mergeCell ref="K113:N114"/>
    <mergeCell ref="B115:G115"/>
    <mergeCell ref="I115:N115"/>
    <mergeCell ref="B109:C110"/>
    <mergeCell ref="D109:G110"/>
    <mergeCell ref="I109:J110"/>
    <mergeCell ref="K109:N110"/>
    <mergeCell ref="B111:C112"/>
    <mergeCell ref="D111:G112"/>
    <mergeCell ref="I111:J112"/>
    <mergeCell ref="K111:N112"/>
    <mergeCell ref="B99:G105"/>
    <mergeCell ref="I99:N105"/>
    <mergeCell ref="B107:C108"/>
    <mergeCell ref="D107:G108"/>
    <mergeCell ref="I107:J108"/>
    <mergeCell ref="K107:N108"/>
    <mergeCell ref="B96:C97"/>
    <mergeCell ref="D96:G97"/>
    <mergeCell ref="I96:J97"/>
    <mergeCell ref="K96:N97"/>
    <mergeCell ref="B98:G98"/>
    <mergeCell ref="I98:N98"/>
    <mergeCell ref="B92:C93"/>
    <mergeCell ref="D92:G93"/>
    <mergeCell ref="I92:J93"/>
    <mergeCell ref="K92:N93"/>
    <mergeCell ref="B94:C95"/>
    <mergeCell ref="D94:G95"/>
    <mergeCell ref="I94:J95"/>
    <mergeCell ref="K94:N95"/>
    <mergeCell ref="B82:G88"/>
    <mergeCell ref="I82:N88"/>
    <mergeCell ref="B90:C91"/>
    <mergeCell ref="D90:G91"/>
    <mergeCell ref="I90:J91"/>
    <mergeCell ref="K90:N91"/>
    <mergeCell ref="B79:C80"/>
    <mergeCell ref="D79:G80"/>
    <mergeCell ref="I79:J80"/>
    <mergeCell ref="K79:N80"/>
    <mergeCell ref="B81:G81"/>
    <mergeCell ref="I81:N81"/>
    <mergeCell ref="B75:C76"/>
    <mergeCell ref="D75:G76"/>
    <mergeCell ref="I75:J76"/>
    <mergeCell ref="K75:N76"/>
    <mergeCell ref="B77:C78"/>
    <mergeCell ref="D77:G78"/>
    <mergeCell ref="I77:J78"/>
    <mergeCell ref="K77:N78"/>
    <mergeCell ref="B65:G71"/>
    <mergeCell ref="I65:N71"/>
    <mergeCell ref="B73:C74"/>
    <mergeCell ref="D73:G74"/>
    <mergeCell ref="I73:J74"/>
    <mergeCell ref="K73:N74"/>
    <mergeCell ref="B62:C63"/>
    <mergeCell ref="D62:G63"/>
    <mergeCell ref="I62:J63"/>
    <mergeCell ref="K62:N63"/>
    <mergeCell ref="B64:G64"/>
    <mergeCell ref="I64:N64"/>
    <mergeCell ref="B58:C59"/>
    <mergeCell ref="D58:G59"/>
    <mergeCell ref="I58:J59"/>
    <mergeCell ref="K58:N59"/>
    <mergeCell ref="B60:C61"/>
    <mergeCell ref="D60:G61"/>
    <mergeCell ref="I60:J61"/>
    <mergeCell ref="K60:N61"/>
    <mergeCell ref="B48:G54"/>
    <mergeCell ref="I48:N54"/>
    <mergeCell ref="B56:C57"/>
    <mergeCell ref="D56:G57"/>
    <mergeCell ref="I56:J57"/>
    <mergeCell ref="K56:N57"/>
    <mergeCell ref="B45:C46"/>
    <mergeCell ref="D45:G46"/>
    <mergeCell ref="I45:J46"/>
    <mergeCell ref="K45:N46"/>
    <mergeCell ref="B47:G47"/>
    <mergeCell ref="I47:N47"/>
    <mergeCell ref="B41:C42"/>
    <mergeCell ref="D41:G42"/>
    <mergeCell ref="I41:J42"/>
    <mergeCell ref="K41:N42"/>
    <mergeCell ref="B43:C44"/>
    <mergeCell ref="D43:G44"/>
    <mergeCell ref="I43:J44"/>
    <mergeCell ref="K43:N44"/>
    <mergeCell ref="B31:G37"/>
    <mergeCell ref="I31:N37"/>
    <mergeCell ref="B39:C40"/>
    <mergeCell ref="D39:G40"/>
    <mergeCell ref="I39:J40"/>
    <mergeCell ref="K39:N40"/>
    <mergeCell ref="B28:C29"/>
    <mergeCell ref="D28:G29"/>
    <mergeCell ref="I28:J29"/>
    <mergeCell ref="K28:N29"/>
    <mergeCell ref="B30:G30"/>
    <mergeCell ref="I30:N30"/>
    <mergeCell ref="B24:C25"/>
    <mergeCell ref="D24:G25"/>
    <mergeCell ref="I24:J25"/>
    <mergeCell ref="K24:N25"/>
    <mergeCell ref="B26:C27"/>
    <mergeCell ref="D26:G27"/>
    <mergeCell ref="I26:J27"/>
    <mergeCell ref="K26:N27"/>
    <mergeCell ref="B14:G20"/>
    <mergeCell ref="I14:N20"/>
    <mergeCell ref="B22:C23"/>
    <mergeCell ref="D22:G23"/>
    <mergeCell ref="I22:J23"/>
    <mergeCell ref="K22:N23"/>
    <mergeCell ref="B9:C10"/>
    <mergeCell ref="D9:G10"/>
    <mergeCell ref="I9:J10"/>
    <mergeCell ref="K9:N10"/>
    <mergeCell ref="B11:C12"/>
    <mergeCell ref="D11:G12"/>
    <mergeCell ref="I11:J12"/>
    <mergeCell ref="K11:N12"/>
    <mergeCell ref="B5:C6"/>
    <mergeCell ref="D5:G6"/>
    <mergeCell ref="I5:J6"/>
    <mergeCell ref="K5:N6"/>
    <mergeCell ref="B7:C8"/>
    <mergeCell ref="D7:G8"/>
    <mergeCell ref="I7:J8"/>
    <mergeCell ref="K7:N8"/>
    <mergeCell ref="B13:G13"/>
    <mergeCell ref="I13:N13"/>
  </mergeCells>
  <phoneticPr fontId="13" type="noConversion"/>
  <dataValidations count="1">
    <dataValidation type="list" allowBlank="1" showInputMessage="1" showErrorMessage="1" sqref="R3" xr:uid="{3166F005-BC7E-4D8F-9250-D80B29AC1876}">
      <formula1>$W$7:$W$11</formula1>
    </dataValidation>
  </dataValidations>
  <pageMargins left="0.35433070866141736" right="0.23622047244094491" top="0.55118110236220474" bottom="0.39370078740157483" header="0.31496062992125984" footer="0.31496062992125984"/>
  <pageSetup scale="119" orientation="portrait" horizontalDpi="300" verticalDpi="300" r:id="rId1"/>
  <headerFooter>
    <oddFooter>&amp;C
&amp;P OF &amp;N</oddFooter>
  </headerFooter>
  <rowBreaks count="2" manualBreakCount="2">
    <brk id="54" min="1" max="13" man="1"/>
    <brk id="156" min="1" max="1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789F-443F-49C7-B773-6EE1D78B5FFF}">
  <dimension ref="B1:W430"/>
  <sheetViews>
    <sheetView showGridLines="0" topLeftCell="B372" zoomScale="130" zoomScaleNormal="130" zoomScaleSheetLayoutView="70" workbookViewId="0">
      <selection activeCell="I398" sqref="I398:J399"/>
    </sheetView>
  </sheetViews>
  <sheetFormatPr defaultRowHeight="11.25" x14ac:dyDescent="0.2"/>
  <cols>
    <col min="1" max="1" width="4.83203125" customWidth="1"/>
    <col min="4" max="4" width="9.83203125" customWidth="1"/>
    <col min="7" max="7" width="9.6640625" customWidth="1"/>
    <col min="8" max="8" width="2.83203125" customWidth="1"/>
    <col min="10" max="10" width="9.33203125" customWidth="1"/>
    <col min="11" max="11" width="9.83203125" customWidth="1"/>
    <col min="14" max="14" width="9.33203125" customWidth="1"/>
    <col min="16" max="16" width="19.5" customWidth="1"/>
    <col min="17" max="17" width="16.83203125" style="1" customWidth="1"/>
    <col min="20" max="20" width="15.83203125" style="24" bestFit="1" customWidth="1"/>
    <col min="21" max="23" width="12.5" style="24" customWidth="1"/>
  </cols>
  <sheetData>
    <row r="1" spans="2:23" x14ac:dyDescent="0.2">
      <c r="S1" s="18" t="s">
        <v>13</v>
      </c>
      <c r="T1" s="22" t="s">
        <v>14</v>
      </c>
      <c r="U1" s="23" t="s">
        <v>15</v>
      </c>
    </row>
    <row r="2" spans="2:23" ht="13.5" x14ac:dyDescent="0.25">
      <c r="P2" s="14" t="s">
        <v>16</v>
      </c>
      <c r="Q2" s="15">
        <v>45999</v>
      </c>
      <c r="S2" s="2">
        <f>MONTH(Q2)</f>
        <v>12</v>
      </c>
      <c r="T2" s="24">
        <f>DAY(Q2)</f>
        <v>8</v>
      </c>
      <c r="U2" s="25" t="str">
        <f>_xlfn.CONCAT(S2,"/",T2)</f>
        <v>12/8</v>
      </c>
      <c r="W2" s="26"/>
    </row>
    <row r="3" spans="2:23" ht="12" customHeight="1" x14ac:dyDescent="0.2">
      <c r="P3" s="19" t="s">
        <v>17</v>
      </c>
      <c r="Q3" s="16">
        <v>1</v>
      </c>
    </row>
    <row r="4" spans="2:23" ht="12" customHeight="1" x14ac:dyDescent="0.2">
      <c r="P4" s="20" t="s">
        <v>18</v>
      </c>
      <c r="Q4" s="16">
        <v>100</v>
      </c>
    </row>
    <row r="5" spans="2:23" ht="13.5" x14ac:dyDescent="0.25">
      <c r="P5" s="14" t="s">
        <v>19</v>
      </c>
      <c r="Q5" s="29" t="s">
        <v>23</v>
      </c>
      <c r="S5" s="3" t="s">
        <v>21</v>
      </c>
      <c r="U5" s="27"/>
    </row>
    <row r="6" spans="2:23" x14ac:dyDescent="0.2">
      <c r="P6" s="13"/>
      <c r="S6" s="3" t="s">
        <v>7</v>
      </c>
      <c r="T6" s="24" t="s">
        <v>22</v>
      </c>
    </row>
    <row r="7" spans="2:23" x14ac:dyDescent="0.2">
      <c r="B7" s="40" t="s">
        <v>69</v>
      </c>
      <c r="C7" s="41"/>
      <c r="D7" s="46" t="str">
        <f>U2</f>
        <v>12/8</v>
      </c>
      <c r="E7" s="44"/>
      <c r="F7" s="44"/>
      <c r="G7" s="41"/>
      <c r="H7" s="2"/>
      <c r="I7" s="40" t="s">
        <v>69</v>
      </c>
      <c r="J7" s="41"/>
      <c r="K7" s="46" t="str">
        <f>D7</f>
        <v>12/8</v>
      </c>
      <c r="L7" s="44"/>
      <c r="M7" s="44"/>
      <c r="N7" s="41"/>
      <c r="S7" s="3" t="s">
        <v>23</v>
      </c>
      <c r="T7" s="24" t="s">
        <v>24</v>
      </c>
    </row>
    <row r="8" spans="2:23" x14ac:dyDescent="0.2">
      <c r="B8" s="42"/>
      <c r="C8" s="43"/>
      <c r="D8" s="42"/>
      <c r="E8" s="45"/>
      <c r="F8" s="45"/>
      <c r="G8" s="43"/>
      <c r="H8" s="2"/>
      <c r="I8" s="42"/>
      <c r="J8" s="43"/>
      <c r="K8" s="42"/>
      <c r="L8" s="45"/>
      <c r="M8" s="45"/>
      <c r="N8" s="43"/>
      <c r="S8" s="3" t="s">
        <v>31</v>
      </c>
      <c r="T8" s="24" t="s">
        <v>32</v>
      </c>
    </row>
    <row r="9" spans="2:23" x14ac:dyDescent="0.2">
      <c r="B9" s="40" t="s">
        <v>25</v>
      </c>
      <c r="C9" s="41"/>
      <c r="D9" s="46" t="str">
        <f>Q5</f>
        <v>DG</v>
      </c>
      <c r="E9" s="44"/>
      <c r="F9" s="44"/>
      <c r="G9" s="41"/>
      <c r="H9" s="2"/>
      <c r="I9" s="40" t="s">
        <v>25</v>
      </c>
      <c r="J9" s="41"/>
      <c r="K9" s="46" t="str">
        <f>D9</f>
        <v>DG</v>
      </c>
      <c r="L9" s="44"/>
      <c r="M9" s="44"/>
      <c r="N9" s="41"/>
      <c r="S9" s="3" t="s">
        <v>26</v>
      </c>
      <c r="T9" s="24" t="s">
        <v>27</v>
      </c>
    </row>
    <row r="10" spans="2:23" x14ac:dyDescent="0.2">
      <c r="B10" s="42"/>
      <c r="C10" s="43"/>
      <c r="D10" s="42"/>
      <c r="E10" s="45"/>
      <c r="F10" s="45"/>
      <c r="G10" s="43"/>
      <c r="H10" s="2"/>
      <c r="I10" s="42"/>
      <c r="J10" s="43"/>
      <c r="K10" s="42"/>
      <c r="L10" s="45"/>
      <c r="M10" s="45"/>
      <c r="N10" s="43"/>
      <c r="S10" s="3" t="s">
        <v>34</v>
      </c>
      <c r="T10" s="24" t="s">
        <v>33</v>
      </c>
    </row>
    <row r="11" spans="2:23" ht="14.25" customHeight="1" x14ac:dyDescent="0.2">
      <c r="B11" s="40" t="s">
        <v>28</v>
      </c>
      <c r="C11" s="41"/>
      <c r="D11" s="40">
        <f>Q3</f>
        <v>1</v>
      </c>
      <c r="E11" s="44"/>
      <c r="F11" s="44"/>
      <c r="G11" s="41"/>
      <c r="H11" s="2"/>
      <c r="I11" s="40" t="s">
        <v>28</v>
      </c>
      <c r="J11" s="41"/>
      <c r="K11" s="40">
        <f>+D11+1</f>
        <v>2</v>
      </c>
      <c r="L11" s="44"/>
      <c r="M11" s="44"/>
      <c r="N11" s="41"/>
      <c r="S11" s="3" t="s">
        <v>43</v>
      </c>
      <c r="T11" s="24" t="s">
        <v>44</v>
      </c>
    </row>
    <row r="12" spans="2:23" ht="14.25" customHeight="1" x14ac:dyDescent="0.2">
      <c r="B12" s="42"/>
      <c r="C12" s="43"/>
      <c r="D12" s="42"/>
      <c r="E12" s="45"/>
      <c r="F12" s="45"/>
      <c r="G12" s="43"/>
      <c r="H12" s="2"/>
      <c r="I12" s="42"/>
      <c r="J12" s="43"/>
      <c r="K12" s="42"/>
      <c r="L12" s="45"/>
      <c r="M12" s="45"/>
      <c r="N12" s="43"/>
    </row>
    <row r="13" spans="2:23" ht="11.25" customHeight="1" x14ac:dyDescent="0.2">
      <c r="B13" s="40" t="s">
        <v>29</v>
      </c>
      <c r="C13" s="41"/>
      <c r="D13" s="49" t="str">
        <f>_xlfn.CONCAT("*",B16,"*")</f>
        <v>*DG-1-12/8*</v>
      </c>
      <c r="E13" s="50"/>
      <c r="F13" s="50"/>
      <c r="G13" s="51"/>
      <c r="H13" s="2"/>
      <c r="I13" s="40" t="s">
        <v>29</v>
      </c>
      <c r="J13" s="41"/>
      <c r="K13" s="49" t="str">
        <f>_xlfn.CONCAT("*",I16,"*")</f>
        <v>*DG-2-12/8*</v>
      </c>
      <c r="L13" s="50"/>
      <c r="M13" s="50"/>
      <c r="N13" s="51"/>
    </row>
    <row r="14" spans="2:23" ht="11.25" customHeight="1" x14ac:dyDescent="0.2">
      <c r="B14" s="42"/>
      <c r="C14" s="43"/>
      <c r="D14" s="52"/>
      <c r="E14" s="53"/>
      <c r="F14" s="53"/>
      <c r="G14" s="54"/>
      <c r="H14" s="2"/>
      <c r="I14" s="42"/>
      <c r="J14" s="43"/>
      <c r="K14" s="52"/>
      <c r="L14" s="53"/>
      <c r="M14" s="53"/>
      <c r="N14" s="54"/>
    </row>
    <row r="15" spans="2:23" ht="13.5" x14ac:dyDescent="0.2">
      <c r="B15" s="47" t="s">
        <v>30</v>
      </c>
      <c r="C15" s="47"/>
      <c r="D15" s="47"/>
      <c r="E15" s="47"/>
      <c r="F15" s="47"/>
      <c r="G15" s="47"/>
      <c r="H15" s="2"/>
      <c r="I15" s="47" t="s">
        <v>30</v>
      </c>
      <c r="J15" s="47"/>
      <c r="K15" s="47"/>
      <c r="L15" s="47"/>
      <c r="M15" s="47"/>
      <c r="N15" s="47"/>
    </row>
    <row r="16" spans="2:23" x14ac:dyDescent="0.2">
      <c r="B16" s="48" t="str">
        <f>_xlfn.CONCAT(D9,"-",D11,"-",D7)</f>
        <v>DG-1-12/8</v>
      </c>
      <c r="C16" s="48"/>
      <c r="D16" s="48"/>
      <c r="E16" s="48"/>
      <c r="F16" s="48"/>
      <c r="G16" s="48"/>
      <c r="H16" s="2"/>
      <c r="I16" s="48" t="str">
        <f>_xlfn.CONCAT(K9,"-",K11,"-",K7)</f>
        <v>DG-2-12/8</v>
      </c>
      <c r="J16" s="48"/>
      <c r="K16" s="48"/>
      <c r="L16" s="48"/>
      <c r="M16" s="48"/>
      <c r="N16" s="48"/>
    </row>
    <row r="17" spans="2:23" x14ac:dyDescent="0.2">
      <c r="B17" s="48"/>
      <c r="C17" s="48"/>
      <c r="D17" s="48"/>
      <c r="E17" s="48"/>
      <c r="F17" s="48"/>
      <c r="G17" s="48"/>
      <c r="H17" s="2"/>
      <c r="I17" s="48"/>
      <c r="J17" s="48"/>
      <c r="K17" s="48"/>
      <c r="L17" s="48"/>
      <c r="M17" s="48"/>
      <c r="N17" s="48"/>
    </row>
    <row r="18" spans="2:23" x14ac:dyDescent="0.2">
      <c r="B18" s="48"/>
      <c r="C18" s="48"/>
      <c r="D18" s="48"/>
      <c r="E18" s="48"/>
      <c r="F18" s="48"/>
      <c r="G18" s="48"/>
      <c r="H18" s="2"/>
      <c r="I18" s="48"/>
      <c r="J18" s="48"/>
      <c r="K18" s="48"/>
      <c r="L18" s="48"/>
      <c r="M18" s="48"/>
      <c r="N18" s="48"/>
      <c r="S18" s="21"/>
      <c r="T18" s="28"/>
      <c r="U18" s="28"/>
      <c r="V18" s="28"/>
      <c r="W18" s="28"/>
    </row>
    <row r="19" spans="2:23" x14ac:dyDescent="0.2">
      <c r="B19" s="48"/>
      <c r="C19" s="48"/>
      <c r="D19" s="48"/>
      <c r="E19" s="48"/>
      <c r="F19" s="48"/>
      <c r="G19" s="48"/>
      <c r="H19" s="2"/>
      <c r="I19" s="48"/>
      <c r="J19" s="48"/>
      <c r="K19" s="48"/>
      <c r="L19" s="48"/>
      <c r="M19" s="48"/>
      <c r="N19" s="48"/>
      <c r="S19" s="21"/>
      <c r="T19" s="28"/>
      <c r="U19" s="28"/>
      <c r="V19" s="28"/>
      <c r="W19" s="28"/>
    </row>
    <row r="20" spans="2:23" x14ac:dyDescent="0.2">
      <c r="B20" s="48"/>
      <c r="C20" s="48"/>
      <c r="D20" s="48"/>
      <c r="E20" s="48"/>
      <c r="F20" s="48"/>
      <c r="G20" s="48"/>
      <c r="H20" s="2"/>
      <c r="I20" s="48"/>
      <c r="J20" s="48"/>
      <c r="K20" s="48"/>
      <c r="L20" s="48"/>
      <c r="M20" s="48"/>
      <c r="N20" s="48"/>
    </row>
    <row r="21" spans="2:23" x14ac:dyDescent="0.2">
      <c r="B21" s="48"/>
      <c r="C21" s="48"/>
      <c r="D21" s="48"/>
      <c r="E21" s="48"/>
      <c r="F21" s="48"/>
      <c r="G21" s="48"/>
      <c r="H21" s="2"/>
      <c r="I21" s="48"/>
      <c r="J21" s="48"/>
      <c r="K21" s="48"/>
      <c r="L21" s="48"/>
      <c r="M21" s="48"/>
      <c r="N21" s="48"/>
    </row>
    <row r="22" spans="2:23" x14ac:dyDescent="0.2">
      <c r="B22" s="48"/>
      <c r="C22" s="48"/>
      <c r="D22" s="48"/>
      <c r="E22" s="48"/>
      <c r="F22" s="48"/>
      <c r="G22" s="48"/>
      <c r="H22" s="2"/>
      <c r="I22" s="48"/>
      <c r="J22" s="48"/>
      <c r="K22" s="48"/>
      <c r="L22" s="48"/>
      <c r="M22" s="48"/>
      <c r="N22" s="48"/>
    </row>
    <row r="24" spans="2:23" x14ac:dyDescent="0.2">
      <c r="B24" s="40" t="s">
        <v>69</v>
      </c>
      <c r="C24" s="41"/>
      <c r="D24" s="46" t="str">
        <f>K7</f>
        <v>12/8</v>
      </c>
      <c r="E24" s="44"/>
      <c r="F24" s="44"/>
      <c r="G24" s="41"/>
      <c r="H24" s="2"/>
      <c r="I24" s="40" t="s">
        <v>69</v>
      </c>
      <c r="J24" s="41"/>
      <c r="K24" s="46" t="str">
        <f>D24</f>
        <v>12/8</v>
      </c>
      <c r="L24" s="44"/>
      <c r="M24" s="44"/>
      <c r="N24" s="41"/>
    </row>
    <row r="25" spans="2:23" x14ac:dyDescent="0.2">
      <c r="B25" s="42"/>
      <c r="C25" s="43"/>
      <c r="D25" s="42"/>
      <c r="E25" s="45"/>
      <c r="F25" s="45"/>
      <c r="G25" s="43"/>
      <c r="H25" s="2"/>
      <c r="I25" s="42"/>
      <c r="J25" s="43"/>
      <c r="K25" s="42"/>
      <c r="L25" s="45"/>
      <c r="M25" s="45"/>
      <c r="N25" s="43"/>
    </row>
    <row r="26" spans="2:23" x14ac:dyDescent="0.2">
      <c r="B26" s="40" t="s">
        <v>25</v>
      </c>
      <c r="C26" s="41"/>
      <c r="D26" s="46" t="str">
        <f>K9</f>
        <v>DG</v>
      </c>
      <c r="E26" s="44"/>
      <c r="F26" s="44"/>
      <c r="G26" s="41"/>
      <c r="H26" s="2"/>
      <c r="I26" s="40" t="s">
        <v>25</v>
      </c>
      <c r="J26" s="41"/>
      <c r="K26" s="46" t="str">
        <f>D26</f>
        <v>DG</v>
      </c>
      <c r="L26" s="44"/>
      <c r="M26" s="44"/>
      <c r="N26" s="41"/>
    </row>
    <row r="27" spans="2:23" x14ac:dyDescent="0.2">
      <c r="B27" s="42"/>
      <c r="C27" s="43"/>
      <c r="D27" s="42"/>
      <c r="E27" s="45"/>
      <c r="F27" s="45"/>
      <c r="G27" s="43"/>
      <c r="H27" s="2"/>
      <c r="I27" s="42"/>
      <c r="J27" s="43"/>
      <c r="K27" s="42"/>
      <c r="L27" s="45"/>
      <c r="M27" s="45"/>
      <c r="N27" s="43"/>
    </row>
    <row r="28" spans="2:23" ht="14.25" customHeight="1" x14ac:dyDescent="0.2">
      <c r="B28" s="40" t="s">
        <v>28</v>
      </c>
      <c r="C28" s="41"/>
      <c r="D28" s="40">
        <f>+K11+1</f>
        <v>3</v>
      </c>
      <c r="E28" s="44"/>
      <c r="F28" s="44"/>
      <c r="G28" s="41"/>
      <c r="H28" s="2"/>
      <c r="I28" s="40" t="s">
        <v>28</v>
      </c>
      <c r="J28" s="41"/>
      <c r="K28" s="40">
        <f>+D28+1</f>
        <v>4</v>
      </c>
      <c r="L28" s="44"/>
      <c r="M28" s="44"/>
      <c r="N28" s="41"/>
    </row>
    <row r="29" spans="2:23" ht="14.25" customHeight="1" x14ac:dyDescent="0.2">
      <c r="B29" s="42"/>
      <c r="C29" s="43"/>
      <c r="D29" s="42"/>
      <c r="E29" s="45"/>
      <c r="F29" s="45"/>
      <c r="G29" s="43"/>
      <c r="H29" s="2"/>
      <c r="I29" s="42"/>
      <c r="J29" s="43"/>
      <c r="K29" s="42"/>
      <c r="L29" s="45"/>
      <c r="M29" s="45"/>
      <c r="N29" s="43"/>
    </row>
    <row r="30" spans="2:23" ht="11.25" customHeight="1" x14ac:dyDescent="0.2">
      <c r="B30" s="40" t="s">
        <v>29</v>
      </c>
      <c r="C30" s="41"/>
      <c r="D30" s="49" t="str">
        <f>_xlfn.CONCAT("*",B33,"*")</f>
        <v>*DG-3-12/8*</v>
      </c>
      <c r="E30" s="50"/>
      <c r="F30" s="50"/>
      <c r="G30" s="51"/>
      <c r="H30" s="2"/>
      <c r="I30" s="40" t="s">
        <v>29</v>
      </c>
      <c r="J30" s="41"/>
      <c r="K30" s="49" t="str">
        <f>_xlfn.CONCAT("*",I33,"*")</f>
        <v>*DG-4-12/8*</v>
      </c>
      <c r="L30" s="50"/>
      <c r="M30" s="50"/>
      <c r="N30" s="51"/>
    </row>
    <row r="31" spans="2:23" ht="11.25" customHeight="1" x14ac:dyDescent="0.2">
      <c r="B31" s="42"/>
      <c r="C31" s="43"/>
      <c r="D31" s="52"/>
      <c r="E31" s="53"/>
      <c r="F31" s="53"/>
      <c r="G31" s="54"/>
      <c r="H31" s="2"/>
      <c r="I31" s="42"/>
      <c r="J31" s="43"/>
      <c r="K31" s="52"/>
      <c r="L31" s="53"/>
      <c r="M31" s="53"/>
      <c r="N31" s="54"/>
    </row>
    <row r="32" spans="2:23" ht="13.5" x14ac:dyDescent="0.2">
      <c r="B32" s="47" t="s">
        <v>30</v>
      </c>
      <c r="C32" s="47"/>
      <c r="D32" s="47"/>
      <c r="E32" s="47"/>
      <c r="F32" s="47"/>
      <c r="G32" s="47"/>
      <c r="H32" s="2"/>
      <c r="I32" s="47" t="s">
        <v>30</v>
      </c>
      <c r="J32" s="47"/>
      <c r="K32" s="47"/>
      <c r="L32" s="47"/>
      <c r="M32" s="47"/>
      <c r="N32" s="47"/>
    </row>
    <row r="33" spans="2:14" x14ac:dyDescent="0.2">
      <c r="B33" s="48" t="str">
        <f>_xlfn.CONCAT(D26,"-",D28,"-",D24)</f>
        <v>DG-3-12/8</v>
      </c>
      <c r="C33" s="48"/>
      <c r="D33" s="48"/>
      <c r="E33" s="48"/>
      <c r="F33" s="48"/>
      <c r="G33" s="48"/>
      <c r="H33" s="2"/>
      <c r="I33" s="48" t="str">
        <f>_xlfn.CONCAT(K26,"-",K28,"-",K24)</f>
        <v>DG-4-12/8</v>
      </c>
      <c r="J33" s="48"/>
      <c r="K33" s="48"/>
      <c r="L33" s="48"/>
      <c r="M33" s="48"/>
      <c r="N33" s="48"/>
    </row>
    <row r="34" spans="2:14" x14ac:dyDescent="0.2">
      <c r="B34" s="48"/>
      <c r="C34" s="48"/>
      <c r="D34" s="48"/>
      <c r="E34" s="48"/>
      <c r="F34" s="48"/>
      <c r="G34" s="48"/>
      <c r="H34" s="2"/>
      <c r="I34" s="48"/>
      <c r="J34" s="48"/>
      <c r="K34" s="48"/>
      <c r="L34" s="48"/>
      <c r="M34" s="48"/>
      <c r="N34" s="48"/>
    </row>
    <row r="35" spans="2:14" x14ac:dyDescent="0.2">
      <c r="B35" s="48"/>
      <c r="C35" s="48"/>
      <c r="D35" s="48"/>
      <c r="E35" s="48"/>
      <c r="F35" s="48"/>
      <c r="G35" s="48"/>
      <c r="H35" s="2"/>
      <c r="I35" s="48"/>
      <c r="J35" s="48"/>
      <c r="K35" s="48"/>
      <c r="L35" s="48"/>
      <c r="M35" s="48"/>
      <c r="N35" s="48"/>
    </row>
    <row r="36" spans="2:14" x14ac:dyDescent="0.2">
      <c r="B36" s="48"/>
      <c r="C36" s="48"/>
      <c r="D36" s="48"/>
      <c r="E36" s="48"/>
      <c r="F36" s="48"/>
      <c r="G36" s="48"/>
      <c r="H36" s="2"/>
      <c r="I36" s="48"/>
      <c r="J36" s="48"/>
      <c r="K36" s="48"/>
      <c r="L36" s="48"/>
      <c r="M36" s="48"/>
      <c r="N36" s="48"/>
    </row>
    <row r="37" spans="2:14" x14ac:dyDescent="0.2">
      <c r="B37" s="48"/>
      <c r="C37" s="48"/>
      <c r="D37" s="48"/>
      <c r="E37" s="48"/>
      <c r="F37" s="48"/>
      <c r="G37" s="48"/>
      <c r="H37" s="2"/>
      <c r="I37" s="48"/>
      <c r="J37" s="48"/>
      <c r="K37" s="48"/>
      <c r="L37" s="48"/>
      <c r="M37" s="48"/>
      <c r="N37" s="48"/>
    </row>
    <row r="38" spans="2:14" x14ac:dyDescent="0.2">
      <c r="B38" s="48"/>
      <c r="C38" s="48"/>
      <c r="D38" s="48"/>
      <c r="E38" s="48"/>
      <c r="F38" s="48"/>
      <c r="G38" s="48"/>
      <c r="H38" s="2"/>
      <c r="I38" s="48"/>
      <c r="J38" s="48"/>
      <c r="K38" s="48"/>
      <c r="L38" s="48"/>
      <c r="M38" s="48"/>
      <c r="N38" s="48"/>
    </row>
    <row r="39" spans="2:14" x14ac:dyDescent="0.2">
      <c r="B39" s="48"/>
      <c r="C39" s="48"/>
      <c r="D39" s="48"/>
      <c r="E39" s="48"/>
      <c r="F39" s="48"/>
      <c r="G39" s="48"/>
      <c r="H39" s="2"/>
      <c r="I39" s="48"/>
      <c r="J39" s="48"/>
      <c r="K39" s="48"/>
      <c r="L39" s="48"/>
      <c r="M39" s="48"/>
      <c r="N39" s="48"/>
    </row>
    <row r="41" spans="2:14" x14ac:dyDescent="0.2">
      <c r="B41" s="40" t="s">
        <v>69</v>
      </c>
      <c r="C41" s="41"/>
      <c r="D41" s="46" t="str">
        <f>K24</f>
        <v>12/8</v>
      </c>
      <c r="E41" s="44"/>
      <c r="F41" s="44"/>
      <c r="G41" s="41"/>
      <c r="H41" s="2"/>
      <c r="I41" s="40" t="s">
        <v>69</v>
      </c>
      <c r="J41" s="41"/>
      <c r="K41" s="46" t="str">
        <f>D41</f>
        <v>12/8</v>
      </c>
      <c r="L41" s="44"/>
      <c r="M41" s="44"/>
      <c r="N41" s="41"/>
    </row>
    <row r="42" spans="2:14" x14ac:dyDescent="0.2">
      <c r="B42" s="42"/>
      <c r="C42" s="43"/>
      <c r="D42" s="42"/>
      <c r="E42" s="45"/>
      <c r="F42" s="45"/>
      <c r="G42" s="43"/>
      <c r="H42" s="2"/>
      <c r="I42" s="42"/>
      <c r="J42" s="43"/>
      <c r="K42" s="42"/>
      <c r="L42" s="45"/>
      <c r="M42" s="45"/>
      <c r="N42" s="43"/>
    </row>
    <row r="43" spans="2:14" x14ac:dyDescent="0.2">
      <c r="B43" s="40" t="s">
        <v>25</v>
      </c>
      <c r="C43" s="41"/>
      <c r="D43" s="46" t="str">
        <f>K26</f>
        <v>DG</v>
      </c>
      <c r="E43" s="44"/>
      <c r="F43" s="44"/>
      <c r="G43" s="41"/>
      <c r="H43" s="2"/>
      <c r="I43" s="40" t="s">
        <v>25</v>
      </c>
      <c r="J43" s="41"/>
      <c r="K43" s="46" t="str">
        <f>D43</f>
        <v>DG</v>
      </c>
      <c r="L43" s="44"/>
      <c r="M43" s="44"/>
      <c r="N43" s="41"/>
    </row>
    <row r="44" spans="2:14" x14ac:dyDescent="0.2">
      <c r="B44" s="42"/>
      <c r="C44" s="43"/>
      <c r="D44" s="42"/>
      <c r="E44" s="45"/>
      <c r="F44" s="45"/>
      <c r="G44" s="43"/>
      <c r="H44" s="2"/>
      <c r="I44" s="42"/>
      <c r="J44" s="43"/>
      <c r="K44" s="42"/>
      <c r="L44" s="45"/>
      <c r="M44" s="45"/>
      <c r="N44" s="43"/>
    </row>
    <row r="45" spans="2:14" ht="14.25" customHeight="1" x14ac:dyDescent="0.2">
      <c r="B45" s="40" t="s">
        <v>28</v>
      </c>
      <c r="C45" s="41"/>
      <c r="D45" s="40">
        <f>+K28+1</f>
        <v>5</v>
      </c>
      <c r="E45" s="44"/>
      <c r="F45" s="44"/>
      <c r="G45" s="41"/>
      <c r="H45" s="2"/>
      <c r="I45" s="40" t="s">
        <v>28</v>
      </c>
      <c r="J45" s="41"/>
      <c r="K45" s="40">
        <f>+D45+1</f>
        <v>6</v>
      </c>
      <c r="L45" s="44"/>
      <c r="M45" s="44"/>
      <c r="N45" s="41"/>
    </row>
    <row r="46" spans="2:14" ht="14.25" customHeight="1" x14ac:dyDescent="0.2">
      <c r="B46" s="42"/>
      <c r="C46" s="43"/>
      <c r="D46" s="42"/>
      <c r="E46" s="45"/>
      <c r="F46" s="45"/>
      <c r="G46" s="43"/>
      <c r="H46" s="2"/>
      <c r="I46" s="42"/>
      <c r="J46" s="43"/>
      <c r="K46" s="42"/>
      <c r="L46" s="45"/>
      <c r="M46" s="45"/>
      <c r="N46" s="43"/>
    </row>
    <row r="47" spans="2:14" ht="11.25" customHeight="1" x14ac:dyDescent="0.2">
      <c r="B47" s="40" t="s">
        <v>29</v>
      </c>
      <c r="C47" s="41"/>
      <c r="D47" s="49" t="str">
        <f>_xlfn.CONCAT("*",B50,"*")</f>
        <v>*DG-5-12/8*</v>
      </c>
      <c r="E47" s="50"/>
      <c r="F47" s="50"/>
      <c r="G47" s="51"/>
      <c r="H47" s="2"/>
      <c r="I47" s="40" t="s">
        <v>29</v>
      </c>
      <c r="J47" s="41"/>
      <c r="K47" s="49" t="str">
        <f>_xlfn.CONCAT("*",I50,"*")</f>
        <v>*DG-6-12/8*</v>
      </c>
      <c r="L47" s="50"/>
      <c r="M47" s="50"/>
      <c r="N47" s="51"/>
    </row>
    <row r="48" spans="2:14" ht="11.25" customHeight="1" x14ac:dyDescent="0.2">
      <c r="B48" s="42"/>
      <c r="C48" s="43"/>
      <c r="D48" s="52"/>
      <c r="E48" s="53"/>
      <c r="F48" s="53"/>
      <c r="G48" s="54"/>
      <c r="H48" s="2"/>
      <c r="I48" s="42"/>
      <c r="J48" s="43"/>
      <c r="K48" s="52"/>
      <c r="L48" s="53"/>
      <c r="M48" s="53"/>
      <c r="N48" s="54"/>
    </row>
    <row r="49" spans="2:14" ht="13.5" x14ac:dyDescent="0.2">
      <c r="B49" s="47" t="s">
        <v>30</v>
      </c>
      <c r="C49" s="47"/>
      <c r="D49" s="47"/>
      <c r="E49" s="47"/>
      <c r="F49" s="47"/>
      <c r="G49" s="47"/>
      <c r="H49" s="2"/>
      <c r="I49" s="47" t="s">
        <v>30</v>
      </c>
      <c r="J49" s="47"/>
      <c r="K49" s="47"/>
      <c r="L49" s="47"/>
      <c r="M49" s="47"/>
      <c r="N49" s="47"/>
    </row>
    <row r="50" spans="2:14" x14ac:dyDescent="0.2">
      <c r="B50" s="48" t="str">
        <f>_xlfn.CONCAT(D43,"-",D45,"-",D41)</f>
        <v>DG-5-12/8</v>
      </c>
      <c r="C50" s="48"/>
      <c r="D50" s="48"/>
      <c r="E50" s="48"/>
      <c r="F50" s="48"/>
      <c r="G50" s="48"/>
      <c r="H50" s="2"/>
      <c r="I50" s="48" t="str">
        <f>_xlfn.CONCAT(K43,"-",K45,"-",K41)</f>
        <v>DG-6-12/8</v>
      </c>
      <c r="J50" s="48"/>
      <c r="K50" s="48"/>
      <c r="L50" s="48"/>
      <c r="M50" s="48"/>
      <c r="N50" s="48"/>
    </row>
    <row r="51" spans="2:14" x14ac:dyDescent="0.2">
      <c r="B51" s="48"/>
      <c r="C51" s="48"/>
      <c r="D51" s="48"/>
      <c r="E51" s="48"/>
      <c r="F51" s="48"/>
      <c r="G51" s="48"/>
      <c r="H51" s="2"/>
      <c r="I51" s="48"/>
      <c r="J51" s="48"/>
      <c r="K51" s="48"/>
      <c r="L51" s="48"/>
      <c r="M51" s="48"/>
      <c r="N51" s="48"/>
    </row>
    <row r="52" spans="2:14" x14ac:dyDescent="0.2">
      <c r="B52" s="48"/>
      <c r="C52" s="48"/>
      <c r="D52" s="48"/>
      <c r="E52" s="48"/>
      <c r="F52" s="48"/>
      <c r="G52" s="48"/>
      <c r="H52" s="2"/>
      <c r="I52" s="48"/>
      <c r="J52" s="48"/>
      <c r="K52" s="48"/>
      <c r="L52" s="48"/>
      <c r="M52" s="48"/>
      <c r="N52" s="48"/>
    </row>
    <row r="53" spans="2:14" x14ac:dyDescent="0.2">
      <c r="B53" s="48"/>
      <c r="C53" s="48"/>
      <c r="D53" s="48"/>
      <c r="E53" s="48"/>
      <c r="F53" s="48"/>
      <c r="G53" s="48"/>
      <c r="H53" s="2"/>
      <c r="I53" s="48"/>
      <c r="J53" s="48"/>
      <c r="K53" s="48"/>
      <c r="L53" s="48"/>
      <c r="M53" s="48"/>
      <c r="N53" s="48"/>
    </row>
    <row r="54" spans="2:14" x14ac:dyDescent="0.2">
      <c r="B54" s="48"/>
      <c r="C54" s="48"/>
      <c r="D54" s="48"/>
      <c r="E54" s="48"/>
      <c r="F54" s="48"/>
      <c r="G54" s="48"/>
      <c r="H54" s="2"/>
      <c r="I54" s="48"/>
      <c r="J54" s="48"/>
      <c r="K54" s="48"/>
      <c r="L54" s="48"/>
      <c r="M54" s="48"/>
      <c r="N54" s="48"/>
    </row>
    <row r="55" spans="2:14" x14ac:dyDescent="0.2">
      <c r="B55" s="48"/>
      <c r="C55" s="48"/>
      <c r="D55" s="48"/>
      <c r="E55" s="48"/>
      <c r="F55" s="48"/>
      <c r="G55" s="48"/>
      <c r="H55" s="2"/>
      <c r="I55" s="48"/>
      <c r="J55" s="48"/>
      <c r="K55" s="48"/>
      <c r="L55" s="48"/>
      <c r="M55" s="48"/>
      <c r="N55" s="48"/>
    </row>
    <row r="56" spans="2:14" x14ac:dyDescent="0.2">
      <c r="B56" s="48"/>
      <c r="C56" s="48"/>
      <c r="D56" s="48"/>
      <c r="E56" s="48"/>
      <c r="F56" s="48"/>
      <c r="G56" s="48"/>
      <c r="H56" s="2"/>
      <c r="I56" s="48"/>
      <c r="J56" s="48"/>
      <c r="K56" s="48"/>
      <c r="L56" s="48"/>
      <c r="M56" s="48"/>
      <c r="N56" s="48"/>
    </row>
    <row r="58" spans="2:14" x14ac:dyDescent="0.2">
      <c r="B58" s="40" t="s">
        <v>69</v>
      </c>
      <c r="C58" s="41"/>
      <c r="D58" s="46" t="str">
        <f>K41</f>
        <v>12/8</v>
      </c>
      <c r="E58" s="44"/>
      <c r="F58" s="44"/>
      <c r="G58" s="41"/>
      <c r="H58" s="2"/>
      <c r="I58" s="40" t="s">
        <v>69</v>
      </c>
      <c r="J58" s="41"/>
      <c r="K58" s="46" t="str">
        <f>D58</f>
        <v>12/8</v>
      </c>
      <c r="L58" s="44"/>
      <c r="M58" s="44"/>
      <c r="N58" s="41"/>
    </row>
    <row r="59" spans="2:14" x14ac:dyDescent="0.2">
      <c r="B59" s="42"/>
      <c r="C59" s="43"/>
      <c r="D59" s="42"/>
      <c r="E59" s="45"/>
      <c r="F59" s="45"/>
      <c r="G59" s="43"/>
      <c r="H59" s="2"/>
      <c r="I59" s="42"/>
      <c r="J59" s="43"/>
      <c r="K59" s="42"/>
      <c r="L59" s="45"/>
      <c r="M59" s="45"/>
      <c r="N59" s="43"/>
    </row>
    <row r="60" spans="2:14" x14ac:dyDescent="0.2">
      <c r="B60" s="40" t="s">
        <v>25</v>
      </c>
      <c r="C60" s="41"/>
      <c r="D60" s="46" t="str">
        <f>K43</f>
        <v>DG</v>
      </c>
      <c r="E60" s="44"/>
      <c r="F60" s="44"/>
      <c r="G60" s="41"/>
      <c r="H60" s="2"/>
      <c r="I60" s="40" t="s">
        <v>25</v>
      </c>
      <c r="J60" s="41"/>
      <c r="K60" s="46" t="str">
        <f>D60</f>
        <v>DG</v>
      </c>
      <c r="L60" s="44"/>
      <c r="M60" s="44"/>
      <c r="N60" s="41"/>
    </row>
    <row r="61" spans="2:14" x14ac:dyDescent="0.2">
      <c r="B61" s="42"/>
      <c r="C61" s="43"/>
      <c r="D61" s="42"/>
      <c r="E61" s="45"/>
      <c r="F61" s="45"/>
      <c r="G61" s="43"/>
      <c r="H61" s="2"/>
      <c r="I61" s="42"/>
      <c r="J61" s="43"/>
      <c r="K61" s="42"/>
      <c r="L61" s="45"/>
      <c r="M61" s="45"/>
      <c r="N61" s="43"/>
    </row>
    <row r="62" spans="2:14" ht="14.25" customHeight="1" x14ac:dyDescent="0.2">
      <c r="B62" s="40" t="s">
        <v>28</v>
      </c>
      <c r="C62" s="41"/>
      <c r="D62" s="40">
        <f>+K45+1</f>
        <v>7</v>
      </c>
      <c r="E62" s="44"/>
      <c r="F62" s="44"/>
      <c r="G62" s="41"/>
      <c r="H62" s="2"/>
      <c r="I62" s="40" t="s">
        <v>28</v>
      </c>
      <c r="J62" s="41"/>
      <c r="K62" s="40">
        <f>+D62+1</f>
        <v>8</v>
      </c>
      <c r="L62" s="44"/>
      <c r="M62" s="44"/>
      <c r="N62" s="41"/>
    </row>
    <row r="63" spans="2:14" ht="14.25" customHeight="1" x14ac:dyDescent="0.2">
      <c r="B63" s="42"/>
      <c r="C63" s="43"/>
      <c r="D63" s="42"/>
      <c r="E63" s="45"/>
      <c r="F63" s="45"/>
      <c r="G63" s="43"/>
      <c r="H63" s="2"/>
      <c r="I63" s="42"/>
      <c r="J63" s="43"/>
      <c r="K63" s="42"/>
      <c r="L63" s="45"/>
      <c r="M63" s="45"/>
      <c r="N63" s="43"/>
    </row>
    <row r="64" spans="2:14" ht="11.25" customHeight="1" x14ac:dyDescent="0.2">
      <c r="B64" s="40" t="s">
        <v>29</v>
      </c>
      <c r="C64" s="41"/>
      <c r="D64" s="49" t="str">
        <f>_xlfn.CONCAT("*",B67,"*")</f>
        <v>*DG-7-12/8*</v>
      </c>
      <c r="E64" s="50"/>
      <c r="F64" s="50"/>
      <c r="G64" s="51"/>
      <c r="H64" s="2"/>
      <c r="I64" s="40" t="s">
        <v>29</v>
      </c>
      <c r="J64" s="41"/>
      <c r="K64" s="49" t="str">
        <f>_xlfn.CONCAT("*",I67,"*")</f>
        <v>*DG-8-12/8*</v>
      </c>
      <c r="L64" s="50"/>
      <c r="M64" s="50"/>
      <c r="N64" s="51"/>
    </row>
    <row r="65" spans="2:14" ht="11.25" customHeight="1" x14ac:dyDescent="0.2">
      <c r="B65" s="42"/>
      <c r="C65" s="43"/>
      <c r="D65" s="52"/>
      <c r="E65" s="53"/>
      <c r="F65" s="53"/>
      <c r="G65" s="54"/>
      <c r="H65" s="2"/>
      <c r="I65" s="42"/>
      <c r="J65" s="43"/>
      <c r="K65" s="52"/>
      <c r="L65" s="53"/>
      <c r="M65" s="53"/>
      <c r="N65" s="54"/>
    </row>
    <row r="66" spans="2:14" ht="13.5" x14ac:dyDescent="0.2">
      <c r="B66" s="47" t="s">
        <v>30</v>
      </c>
      <c r="C66" s="47"/>
      <c r="D66" s="47"/>
      <c r="E66" s="47"/>
      <c r="F66" s="47"/>
      <c r="G66" s="47"/>
      <c r="H66" s="2"/>
      <c r="I66" s="47" t="s">
        <v>30</v>
      </c>
      <c r="J66" s="47"/>
      <c r="K66" s="47"/>
      <c r="L66" s="47"/>
      <c r="M66" s="47"/>
      <c r="N66" s="47"/>
    </row>
    <row r="67" spans="2:14" x14ac:dyDescent="0.2">
      <c r="B67" s="48" t="str">
        <f>_xlfn.CONCAT(D60,"-",D62,"-",D58)</f>
        <v>DG-7-12/8</v>
      </c>
      <c r="C67" s="48"/>
      <c r="D67" s="48"/>
      <c r="E67" s="48"/>
      <c r="F67" s="48"/>
      <c r="G67" s="48"/>
      <c r="H67" s="2"/>
      <c r="I67" s="48" t="str">
        <f>_xlfn.CONCAT(K60,"-",K62,"-",K58)</f>
        <v>DG-8-12/8</v>
      </c>
      <c r="J67" s="48"/>
      <c r="K67" s="48"/>
      <c r="L67" s="48"/>
      <c r="M67" s="48"/>
      <c r="N67" s="48"/>
    </row>
    <row r="68" spans="2:14" x14ac:dyDescent="0.2">
      <c r="B68" s="48"/>
      <c r="C68" s="48"/>
      <c r="D68" s="48"/>
      <c r="E68" s="48"/>
      <c r="F68" s="48"/>
      <c r="G68" s="48"/>
      <c r="H68" s="2"/>
      <c r="I68" s="48"/>
      <c r="J68" s="48"/>
      <c r="K68" s="48"/>
      <c r="L68" s="48"/>
      <c r="M68" s="48"/>
      <c r="N68" s="48"/>
    </row>
    <row r="69" spans="2:14" x14ac:dyDescent="0.2">
      <c r="B69" s="48"/>
      <c r="C69" s="48"/>
      <c r="D69" s="48"/>
      <c r="E69" s="48"/>
      <c r="F69" s="48"/>
      <c r="G69" s="48"/>
      <c r="H69" s="2"/>
      <c r="I69" s="48"/>
      <c r="J69" s="48"/>
      <c r="K69" s="48"/>
      <c r="L69" s="48"/>
      <c r="M69" s="48"/>
      <c r="N69" s="48"/>
    </row>
    <row r="70" spans="2:14" x14ac:dyDescent="0.2">
      <c r="B70" s="48"/>
      <c r="C70" s="48"/>
      <c r="D70" s="48"/>
      <c r="E70" s="48"/>
      <c r="F70" s="48"/>
      <c r="G70" s="48"/>
      <c r="H70" s="2"/>
      <c r="I70" s="48"/>
      <c r="J70" s="48"/>
      <c r="K70" s="48"/>
      <c r="L70" s="48"/>
      <c r="M70" s="48"/>
      <c r="N70" s="48"/>
    </row>
    <row r="71" spans="2:14" x14ac:dyDescent="0.2">
      <c r="B71" s="48"/>
      <c r="C71" s="48"/>
      <c r="D71" s="48"/>
      <c r="E71" s="48"/>
      <c r="F71" s="48"/>
      <c r="G71" s="48"/>
      <c r="H71" s="2"/>
      <c r="I71" s="48"/>
      <c r="J71" s="48"/>
      <c r="K71" s="48"/>
      <c r="L71" s="48"/>
      <c r="M71" s="48"/>
      <c r="N71" s="48"/>
    </row>
    <row r="72" spans="2:14" x14ac:dyDescent="0.2">
      <c r="B72" s="48"/>
      <c r="C72" s="48"/>
      <c r="D72" s="48"/>
      <c r="E72" s="48"/>
      <c r="F72" s="48"/>
      <c r="G72" s="48"/>
      <c r="H72" s="2"/>
      <c r="I72" s="48"/>
      <c r="J72" s="48"/>
      <c r="K72" s="48"/>
      <c r="L72" s="48"/>
      <c r="M72" s="48"/>
      <c r="N72" s="48"/>
    </row>
    <row r="73" spans="2:14" x14ac:dyDescent="0.2">
      <c r="B73" s="48"/>
      <c r="C73" s="48"/>
      <c r="D73" s="48"/>
      <c r="E73" s="48"/>
      <c r="F73" s="48"/>
      <c r="G73" s="48"/>
      <c r="H73" s="2"/>
      <c r="I73" s="48"/>
      <c r="J73" s="48"/>
      <c r="K73" s="48"/>
      <c r="L73" s="48"/>
      <c r="M73" s="48"/>
      <c r="N73" s="48"/>
    </row>
    <row r="75" spans="2:14" x14ac:dyDescent="0.2">
      <c r="B75" s="40" t="s">
        <v>69</v>
      </c>
      <c r="C75" s="41"/>
      <c r="D75" s="46" t="str">
        <f>K58</f>
        <v>12/8</v>
      </c>
      <c r="E75" s="44"/>
      <c r="F75" s="44"/>
      <c r="G75" s="41"/>
      <c r="H75" s="2"/>
      <c r="I75" s="40" t="s">
        <v>69</v>
      </c>
      <c r="J75" s="41"/>
      <c r="K75" s="46" t="str">
        <f>D75</f>
        <v>12/8</v>
      </c>
      <c r="L75" s="44"/>
      <c r="M75" s="44"/>
      <c r="N75" s="41"/>
    </row>
    <row r="76" spans="2:14" x14ac:dyDescent="0.2">
      <c r="B76" s="42"/>
      <c r="C76" s="43"/>
      <c r="D76" s="42"/>
      <c r="E76" s="45"/>
      <c r="F76" s="45"/>
      <c r="G76" s="43"/>
      <c r="H76" s="2"/>
      <c r="I76" s="42"/>
      <c r="J76" s="43"/>
      <c r="K76" s="42"/>
      <c r="L76" s="45"/>
      <c r="M76" s="45"/>
      <c r="N76" s="43"/>
    </row>
    <row r="77" spans="2:14" x14ac:dyDescent="0.2">
      <c r="B77" s="40" t="s">
        <v>25</v>
      </c>
      <c r="C77" s="41"/>
      <c r="D77" s="46" t="str">
        <f>K60</f>
        <v>DG</v>
      </c>
      <c r="E77" s="44"/>
      <c r="F77" s="44"/>
      <c r="G77" s="41"/>
      <c r="H77" s="2"/>
      <c r="I77" s="40" t="s">
        <v>25</v>
      </c>
      <c r="J77" s="41"/>
      <c r="K77" s="46" t="str">
        <f>D77</f>
        <v>DG</v>
      </c>
      <c r="L77" s="44"/>
      <c r="M77" s="44"/>
      <c r="N77" s="41"/>
    </row>
    <row r="78" spans="2:14" x14ac:dyDescent="0.2">
      <c r="B78" s="42"/>
      <c r="C78" s="43"/>
      <c r="D78" s="42"/>
      <c r="E78" s="45"/>
      <c r="F78" s="45"/>
      <c r="G78" s="43"/>
      <c r="H78" s="2"/>
      <c r="I78" s="42"/>
      <c r="J78" s="43"/>
      <c r="K78" s="42"/>
      <c r="L78" s="45"/>
      <c r="M78" s="45"/>
      <c r="N78" s="43"/>
    </row>
    <row r="79" spans="2:14" ht="14.25" customHeight="1" x14ac:dyDescent="0.2">
      <c r="B79" s="40" t="s">
        <v>28</v>
      </c>
      <c r="C79" s="41"/>
      <c r="D79" s="40">
        <f>+K62+1</f>
        <v>9</v>
      </c>
      <c r="E79" s="44"/>
      <c r="F79" s="44"/>
      <c r="G79" s="41"/>
      <c r="H79" s="2"/>
      <c r="I79" s="40" t="s">
        <v>28</v>
      </c>
      <c r="J79" s="41"/>
      <c r="K79" s="40">
        <f>+D79+1</f>
        <v>10</v>
      </c>
      <c r="L79" s="44"/>
      <c r="M79" s="44"/>
      <c r="N79" s="41"/>
    </row>
    <row r="80" spans="2:14" ht="14.25" customHeight="1" x14ac:dyDescent="0.2">
      <c r="B80" s="42"/>
      <c r="C80" s="43"/>
      <c r="D80" s="42"/>
      <c r="E80" s="45"/>
      <c r="F80" s="45"/>
      <c r="G80" s="43"/>
      <c r="H80" s="2"/>
      <c r="I80" s="42"/>
      <c r="J80" s="43"/>
      <c r="K80" s="42"/>
      <c r="L80" s="45"/>
      <c r="M80" s="45"/>
      <c r="N80" s="43"/>
    </row>
    <row r="81" spans="2:14" ht="11.25" customHeight="1" x14ac:dyDescent="0.2">
      <c r="B81" s="40" t="s">
        <v>29</v>
      </c>
      <c r="C81" s="41"/>
      <c r="D81" s="49" t="str">
        <f>_xlfn.CONCAT("*",B84,"*")</f>
        <v>*DG-9-12/8*</v>
      </c>
      <c r="E81" s="50"/>
      <c r="F81" s="50"/>
      <c r="G81" s="51"/>
      <c r="H81" s="2"/>
      <c r="I81" s="40" t="s">
        <v>29</v>
      </c>
      <c r="J81" s="41"/>
      <c r="K81" s="49" t="str">
        <f>_xlfn.CONCAT("*",I84,"*")</f>
        <v>*DG-10-12/8*</v>
      </c>
      <c r="L81" s="50"/>
      <c r="M81" s="50"/>
      <c r="N81" s="51"/>
    </row>
    <row r="82" spans="2:14" ht="11.25" customHeight="1" x14ac:dyDescent="0.2">
      <c r="B82" s="42"/>
      <c r="C82" s="43"/>
      <c r="D82" s="52"/>
      <c r="E82" s="53"/>
      <c r="F82" s="53"/>
      <c r="G82" s="54"/>
      <c r="H82" s="2"/>
      <c r="I82" s="42"/>
      <c r="J82" s="43"/>
      <c r="K82" s="52"/>
      <c r="L82" s="53"/>
      <c r="M82" s="53"/>
      <c r="N82" s="54"/>
    </row>
    <row r="83" spans="2:14" ht="13.5" x14ac:dyDescent="0.2">
      <c r="B83" s="47" t="s">
        <v>30</v>
      </c>
      <c r="C83" s="47"/>
      <c r="D83" s="47"/>
      <c r="E83" s="47"/>
      <c r="F83" s="47"/>
      <c r="G83" s="47"/>
      <c r="H83" s="2"/>
      <c r="I83" s="47" t="s">
        <v>30</v>
      </c>
      <c r="J83" s="47"/>
      <c r="K83" s="47"/>
      <c r="L83" s="47"/>
      <c r="M83" s="47"/>
      <c r="N83" s="47"/>
    </row>
    <row r="84" spans="2:14" x14ac:dyDescent="0.2">
      <c r="B84" s="48" t="str">
        <f>_xlfn.CONCAT(D77,"-",D79,"-",D75)</f>
        <v>DG-9-12/8</v>
      </c>
      <c r="C84" s="48"/>
      <c r="D84" s="48"/>
      <c r="E84" s="48"/>
      <c r="F84" s="48"/>
      <c r="G84" s="48"/>
      <c r="H84" s="2"/>
      <c r="I84" s="48" t="str">
        <f>_xlfn.CONCAT(K77,"-",K79,"-",K75)</f>
        <v>DG-10-12/8</v>
      </c>
      <c r="J84" s="48"/>
      <c r="K84" s="48"/>
      <c r="L84" s="48"/>
      <c r="M84" s="48"/>
      <c r="N84" s="48"/>
    </row>
    <row r="85" spans="2:14" x14ac:dyDescent="0.2">
      <c r="B85" s="48"/>
      <c r="C85" s="48"/>
      <c r="D85" s="48"/>
      <c r="E85" s="48"/>
      <c r="F85" s="48"/>
      <c r="G85" s="48"/>
      <c r="H85" s="2"/>
      <c r="I85" s="48"/>
      <c r="J85" s="48"/>
      <c r="K85" s="48"/>
      <c r="L85" s="48"/>
      <c r="M85" s="48"/>
      <c r="N85" s="48"/>
    </row>
    <row r="86" spans="2:14" x14ac:dyDescent="0.2">
      <c r="B86" s="48"/>
      <c r="C86" s="48"/>
      <c r="D86" s="48"/>
      <c r="E86" s="48"/>
      <c r="F86" s="48"/>
      <c r="G86" s="48"/>
      <c r="H86" s="2"/>
      <c r="I86" s="48"/>
      <c r="J86" s="48"/>
      <c r="K86" s="48"/>
      <c r="L86" s="48"/>
      <c r="M86" s="48"/>
      <c r="N86" s="48"/>
    </row>
    <row r="87" spans="2:14" x14ac:dyDescent="0.2">
      <c r="B87" s="48"/>
      <c r="C87" s="48"/>
      <c r="D87" s="48"/>
      <c r="E87" s="48"/>
      <c r="F87" s="48"/>
      <c r="G87" s="48"/>
      <c r="H87" s="2"/>
      <c r="I87" s="48"/>
      <c r="J87" s="48"/>
      <c r="K87" s="48"/>
      <c r="L87" s="48"/>
      <c r="M87" s="48"/>
      <c r="N87" s="48"/>
    </row>
    <row r="88" spans="2:14" x14ac:dyDescent="0.2">
      <c r="B88" s="48"/>
      <c r="C88" s="48"/>
      <c r="D88" s="48"/>
      <c r="E88" s="48"/>
      <c r="F88" s="48"/>
      <c r="G88" s="48"/>
      <c r="H88" s="2"/>
      <c r="I88" s="48"/>
      <c r="J88" s="48"/>
      <c r="K88" s="48"/>
      <c r="L88" s="48"/>
      <c r="M88" s="48"/>
      <c r="N88" s="48"/>
    </row>
    <row r="89" spans="2:14" x14ac:dyDescent="0.2">
      <c r="B89" s="48"/>
      <c r="C89" s="48"/>
      <c r="D89" s="48"/>
      <c r="E89" s="48"/>
      <c r="F89" s="48"/>
      <c r="G89" s="48"/>
      <c r="H89" s="2"/>
      <c r="I89" s="48"/>
      <c r="J89" s="48"/>
      <c r="K89" s="48"/>
      <c r="L89" s="48"/>
      <c r="M89" s="48"/>
      <c r="N89" s="48"/>
    </row>
    <row r="90" spans="2:14" x14ac:dyDescent="0.2">
      <c r="B90" s="48"/>
      <c r="C90" s="48"/>
      <c r="D90" s="48"/>
      <c r="E90" s="48"/>
      <c r="F90" s="48"/>
      <c r="G90" s="48"/>
      <c r="H90" s="2"/>
      <c r="I90" s="48"/>
      <c r="J90" s="48"/>
      <c r="K90" s="48"/>
      <c r="L90" s="48"/>
      <c r="M90" s="48"/>
      <c r="N90" s="48"/>
    </row>
    <row r="92" spans="2:14" x14ac:dyDescent="0.2">
      <c r="B92" s="40" t="s">
        <v>69</v>
      </c>
      <c r="C92" s="41"/>
      <c r="D92" s="46" t="str">
        <f>K75</f>
        <v>12/8</v>
      </c>
      <c r="E92" s="44"/>
      <c r="F92" s="44"/>
      <c r="G92" s="41"/>
      <c r="H92" s="2"/>
      <c r="I92" s="40" t="s">
        <v>69</v>
      </c>
      <c r="J92" s="41"/>
      <c r="K92" s="46" t="str">
        <f>D92</f>
        <v>12/8</v>
      </c>
      <c r="L92" s="44"/>
      <c r="M92" s="44"/>
      <c r="N92" s="41"/>
    </row>
    <row r="93" spans="2:14" x14ac:dyDescent="0.2">
      <c r="B93" s="42"/>
      <c r="C93" s="43"/>
      <c r="D93" s="42"/>
      <c r="E93" s="45"/>
      <c r="F93" s="45"/>
      <c r="G93" s="43"/>
      <c r="H93" s="2"/>
      <c r="I93" s="42"/>
      <c r="J93" s="43"/>
      <c r="K93" s="42"/>
      <c r="L93" s="45"/>
      <c r="M93" s="45"/>
      <c r="N93" s="43"/>
    </row>
    <row r="94" spans="2:14" x14ac:dyDescent="0.2">
      <c r="B94" s="40" t="s">
        <v>25</v>
      </c>
      <c r="C94" s="41"/>
      <c r="D94" s="46" t="str">
        <f>K77</f>
        <v>DG</v>
      </c>
      <c r="E94" s="44"/>
      <c r="F94" s="44"/>
      <c r="G94" s="41"/>
      <c r="H94" s="2"/>
      <c r="I94" s="40" t="s">
        <v>25</v>
      </c>
      <c r="J94" s="41"/>
      <c r="K94" s="46" t="str">
        <f>D94</f>
        <v>DG</v>
      </c>
      <c r="L94" s="44"/>
      <c r="M94" s="44"/>
      <c r="N94" s="41"/>
    </row>
    <row r="95" spans="2:14" x14ac:dyDescent="0.2">
      <c r="B95" s="42"/>
      <c r="C95" s="43"/>
      <c r="D95" s="42"/>
      <c r="E95" s="45"/>
      <c r="F95" s="45"/>
      <c r="G95" s="43"/>
      <c r="H95" s="2"/>
      <c r="I95" s="42"/>
      <c r="J95" s="43"/>
      <c r="K95" s="42"/>
      <c r="L95" s="45"/>
      <c r="M95" s="45"/>
      <c r="N95" s="43"/>
    </row>
    <row r="96" spans="2:14" ht="14.25" customHeight="1" x14ac:dyDescent="0.2">
      <c r="B96" s="40" t="s">
        <v>28</v>
      </c>
      <c r="C96" s="41"/>
      <c r="D96" s="40">
        <f>+K79+1</f>
        <v>11</v>
      </c>
      <c r="E96" s="44"/>
      <c r="F96" s="44"/>
      <c r="G96" s="41"/>
      <c r="H96" s="2"/>
      <c r="I96" s="40" t="s">
        <v>28</v>
      </c>
      <c r="J96" s="41"/>
      <c r="K96" s="40">
        <f>+D96+1</f>
        <v>12</v>
      </c>
      <c r="L96" s="44"/>
      <c r="M96" s="44"/>
      <c r="N96" s="41"/>
    </row>
    <row r="97" spans="2:14" ht="14.25" customHeight="1" x14ac:dyDescent="0.2">
      <c r="B97" s="42"/>
      <c r="C97" s="43"/>
      <c r="D97" s="42"/>
      <c r="E97" s="45"/>
      <c r="F97" s="45"/>
      <c r="G97" s="43"/>
      <c r="H97" s="2"/>
      <c r="I97" s="42"/>
      <c r="J97" s="43"/>
      <c r="K97" s="42"/>
      <c r="L97" s="45"/>
      <c r="M97" s="45"/>
      <c r="N97" s="43"/>
    </row>
    <row r="98" spans="2:14" ht="11.25" customHeight="1" x14ac:dyDescent="0.2">
      <c r="B98" s="40" t="s">
        <v>29</v>
      </c>
      <c r="C98" s="41"/>
      <c r="D98" s="49" t="str">
        <f>_xlfn.CONCAT("*",B101,"*")</f>
        <v>*DG-11-12/8*</v>
      </c>
      <c r="E98" s="50"/>
      <c r="F98" s="50"/>
      <c r="G98" s="51"/>
      <c r="H98" s="2"/>
      <c r="I98" s="40" t="s">
        <v>29</v>
      </c>
      <c r="J98" s="41"/>
      <c r="K98" s="49" t="str">
        <f>_xlfn.CONCAT("*",I101,"*")</f>
        <v>*DG-12-12/8*</v>
      </c>
      <c r="L98" s="50"/>
      <c r="M98" s="50"/>
      <c r="N98" s="51"/>
    </row>
    <row r="99" spans="2:14" ht="11.25" customHeight="1" x14ac:dyDescent="0.2">
      <c r="B99" s="42"/>
      <c r="C99" s="43"/>
      <c r="D99" s="52"/>
      <c r="E99" s="53"/>
      <c r="F99" s="53"/>
      <c r="G99" s="54"/>
      <c r="H99" s="2"/>
      <c r="I99" s="42"/>
      <c r="J99" s="43"/>
      <c r="K99" s="52"/>
      <c r="L99" s="53"/>
      <c r="M99" s="53"/>
      <c r="N99" s="54"/>
    </row>
    <row r="100" spans="2:14" ht="13.5" x14ac:dyDescent="0.2">
      <c r="B100" s="47" t="s">
        <v>30</v>
      </c>
      <c r="C100" s="47"/>
      <c r="D100" s="47"/>
      <c r="E100" s="47"/>
      <c r="F100" s="47"/>
      <c r="G100" s="47"/>
      <c r="H100" s="2"/>
      <c r="I100" s="47" t="s">
        <v>30</v>
      </c>
      <c r="J100" s="47"/>
      <c r="K100" s="47"/>
      <c r="L100" s="47"/>
      <c r="M100" s="47"/>
      <c r="N100" s="47"/>
    </row>
    <row r="101" spans="2:14" x14ac:dyDescent="0.2">
      <c r="B101" s="48" t="str">
        <f>_xlfn.CONCAT(D94,"-",D96,"-",D92)</f>
        <v>DG-11-12/8</v>
      </c>
      <c r="C101" s="48"/>
      <c r="D101" s="48"/>
      <c r="E101" s="48"/>
      <c r="F101" s="48"/>
      <c r="G101" s="48"/>
      <c r="H101" s="2"/>
      <c r="I101" s="48" t="str">
        <f>_xlfn.CONCAT(K94,"-",K96,"-",K92)</f>
        <v>DG-12-12/8</v>
      </c>
      <c r="J101" s="48"/>
      <c r="K101" s="48"/>
      <c r="L101" s="48"/>
      <c r="M101" s="48"/>
      <c r="N101" s="48"/>
    </row>
    <row r="102" spans="2:14" x14ac:dyDescent="0.2">
      <c r="B102" s="48"/>
      <c r="C102" s="48"/>
      <c r="D102" s="48"/>
      <c r="E102" s="48"/>
      <c r="F102" s="48"/>
      <c r="G102" s="48"/>
      <c r="H102" s="2"/>
      <c r="I102" s="48"/>
      <c r="J102" s="48"/>
      <c r="K102" s="48"/>
      <c r="L102" s="48"/>
      <c r="M102" s="48"/>
      <c r="N102" s="48"/>
    </row>
    <row r="103" spans="2:14" x14ac:dyDescent="0.2">
      <c r="B103" s="48"/>
      <c r="C103" s="48"/>
      <c r="D103" s="48"/>
      <c r="E103" s="48"/>
      <c r="F103" s="48"/>
      <c r="G103" s="48"/>
      <c r="H103" s="2"/>
      <c r="I103" s="48"/>
      <c r="J103" s="48"/>
      <c r="K103" s="48"/>
      <c r="L103" s="48"/>
      <c r="M103" s="48"/>
      <c r="N103" s="48"/>
    </row>
    <row r="104" spans="2:14" x14ac:dyDescent="0.2">
      <c r="B104" s="48"/>
      <c r="C104" s="48"/>
      <c r="D104" s="48"/>
      <c r="E104" s="48"/>
      <c r="F104" s="48"/>
      <c r="G104" s="48"/>
      <c r="H104" s="2"/>
      <c r="I104" s="48"/>
      <c r="J104" s="48"/>
      <c r="K104" s="48"/>
      <c r="L104" s="48"/>
      <c r="M104" s="48"/>
      <c r="N104" s="48"/>
    </row>
    <row r="105" spans="2:14" x14ac:dyDescent="0.2">
      <c r="B105" s="48"/>
      <c r="C105" s="48"/>
      <c r="D105" s="48"/>
      <c r="E105" s="48"/>
      <c r="F105" s="48"/>
      <c r="G105" s="48"/>
      <c r="H105" s="2"/>
      <c r="I105" s="48"/>
      <c r="J105" s="48"/>
      <c r="K105" s="48"/>
      <c r="L105" s="48"/>
      <c r="M105" s="48"/>
      <c r="N105" s="48"/>
    </row>
    <row r="106" spans="2:14" x14ac:dyDescent="0.2">
      <c r="B106" s="48"/>
      <c r="C106" s="48"/>
      <c r="D106" s="48"/>
      <c r="E106" s="48"/>
      <c r="F106" s="48"/>
      <c r="G106" s="48"/>
      <c r="H106" s="2"/>
      <c r="I106" s="48"/>
      <c r="J106" s="48"/>
      <c r="K106" s="48"/>
      <c r="L106" s="48"/>
      <c r="M106" s="48"/>
      <c r="N106" s="48"/>
    </row>
    <row r="107" spans="2:14" x14ac:dyDescent="0.2">
      <c r="B107" s="48"/>
      <c r="C107" s="48"/>
      <c r="D107" s="48"/>
      <c r="E107" s="48"/>
      <c r="F107" s="48"/>
      <c r="G107" s="48"/>
      <c r="H107" s="2"/>
      <c r="I107" s="48"/>
      <c r="J107" s="48"/>
      <c r="K107" s="48"/>
      <c r="L107" s="48"/>
      <c r="M107" s="48"/>
      <c r="N107" s="48"/>
    </row>
    <row r="109" spans="2:14" x14ac:dyDescent="0.2">
      <c r="B109" s="40" t="s">
        <v>69</v>
      </c>
      <c r="C109" s="41"/>
      <c r="D109" s="46" t="str">
        <f>K92</f>
        <v>12/8</v>
      </c>
      <c r="E109" s="44"/>
      <c r="F109" s="44"/>
      <c r="G109" s="41"/>
      <c r="H109" s="2"/>
      <c r="I109" s="40" t="s">
        <v>69</v>
      </c>
      <c r="J109" s="41"/>
      <c r="K109" s="46" t="str">
        <f>D109</f>
        <v>12/8</v>
      </c>
      <c r="L109" s="44"/>
      <c r="M109" s="44"/>
      <c r="N109" s="41"/>
    </row>
    <row r="110" spans="2:14" x14ac:dyDescent="0.2">
      <c r="B110" s="42"/>
      <c r="C110" s="43"/>
      <c r="D110" s="42"/>
      <c r="E110" s="45"/>
      <c r="F110" s="45"/>
      <c r="G110" s="43"/>
      <c r="H110" s="2"/>
      <c r="I110" s="42"/>
      <c r="J110" s="43"/>
      <c r="K110" s="42"/>
      <c r="L110" s="45"/>
      <c r="M110" s="45"/>
      <c r="N110" s="43"/>
    </row>
    <row r="111" spans="2:14" x14ac:dyDescent="0.2">
      <c r="B111" s="40" t="s">
        <v>25</v>
      </c>
      <c r="C111" s="41"/>
      <c r="D111" s="46" t="str">
        <f>K94</f>
        <v>DG</v>
      </c>
      <c r="E111" s="44"/>
      <c r="F111" s="44"/>
      <c r="G111" s="41"/>
      <c r="H111" s="2"/>
      <c r="I111" s="40" t="s">
        <v>25</v>
      </c>
      <c r="J111" s="41"/>
      <c r="K111" s="46" t="str">
        <f>D111</f>
        <v>DG</v>
      </c>
      <c r="L111" s="44"/>
      <c r="M111" s="44"/>
      <c r="N111" s="41"/>
    </row>
    <row r="112" spans="2:14" x14ac:dyDescent="0.2">
      <c r="B112" s="42"/>
      <c r="C112" s="43"/>
      <c r="D112" s="42"/>
      <c r="E112" s="45"/>
      <c r="F112" s="45"/>
      <c r="G112" s="43"/>
      <c r="H112" s="2"/>
      <c r="I112" s="42"/>
      <c r="J112" s="43"/>
      <c r="K112" s="42"/>
      <c r="L112" s="45"/>
      <c r="M112" s="45"/>
      <c r="N112" s="43"/>
    </row>
    <row r="113" spans="2:14" ht="14.25" customHeight="1" x14ac:dyDescent="0.2">
      <c r="B113" s="40" t="s">
        <v>28</v>
      </c>
      <c r="C113" s="41"/>
      <c r="D113" s="40">
        <f>+K96+1</f>
        <v>13</v>
      </c>
      <c r="E113" s="44"/>
      <c r="F113" s="44"/>
      <c r="G113" s="41"/>
      <c r="H113" s="2"/>
      <c r="I113" s="40" t="s">
        <v>28</v>
      </c>
      <c r="J113" s="41"/>
      <c r="K113" s="40">
        <f>+D113+1</f>
        <v>14</v>
      </c>
      <c r="L113" s="44"/>
      <c r="M113" s="44"/>
      <c r="N113" s="41"/>
    </row>
    <row r="114" spans="2:14" ht="14.25" customHeight="1" x14ac:dyDescent="0.2">
      <c r="B114" s="42"/>
      <c r="C114" s="43"/>
      <c r="D114" s="42"/>
      <c r="E114" s="45"/>
      <c r="F114" s="45"/>
      <c r="G114" s="43"/>
      <c r="H114" s="2"/>
      <c r="I114" s="42"/>
      <c r="J114" s="43"/>
      <c r="K114" s="42"/>
      <c r="L114" s="45"/>
      <c r="M114" s="45"/>
      <c r="N114" s="43"/>
    </row>
    <row r="115" spans="2:14" ht="11.25" customHeight="1" x14ac:dyDescent="0.2">
      <c r="B115" s="40" t="s">
        <v>29</v>
      </c>
      <c r="C115" s="41"/>
      <c r="D115" s="49" t="str">
        <f>_xlfn.CONCAT("*",B118,"*")</f>
        <v>*DG-13-12/8*</v>
      </c>
      <c r="E115" s="50"/>
      <c r="F115" s="50"/>
      <c r="G115" s="51"/>
      <c r="H115" s="2"/>
      <c r="I115" s="40" t="s">
        <v>29</v>
      </c>
      <c r="J115" s="41"/>
      <c r="K115" s="49" t="str">
        <f>_xlfn.CONCAT("*",I118,"*")</f>
        <v>*DG-14-12/8*</v>
      </c>
      <c r="L115" s="50"/>
      <c r="M115" s="50"/>
      <c r="N115" s="51"/>
    </row>
    <row r="116" spans="2:14" ht="11.25" customHeight="1" x14ac:dyDescent="0.2">
      <c r="B116" s="42"/>
      <c r="C116" s="43"/>
      <c r="D116" s="52"/>
      <c r="E116" s="53"/>
      <c r="F116" s="53"/>
      <c r="G116" s="54"/>
      <c r="H116" s="2"/>
      <c r="I116" s="42"/>
      <c r="J116" s="43"/>
      <c r="K116" s="52"/>
      <c r="L116" s="53"/>
      <c r="M116" s="53"/>
      <c r="N116" s="54"/>
    </row>
    <row r="117" spans="2:14" ht="13.5" x14ac:dyDescent="0.2">
      <c r="B117" s="47" t="s">
        <v>30</v>
      </c>
      <c r="C117" s="47"/>
      <c r="D117" s="47"/>
      <c r="E117" s="47"/>
      <c r="F117" s="47"/>
      <c r="G117" s="47"/>
      <c r="H117" s="2"/>
      <c r="I117" s="47" t="s">
        <v>30</v>
      </c>
      <c r="J117" s="47"/>
      <c r="K117" s="47"/>
      <c r="L117" s="47"/>
      <c r="M117" s="47"/>
      <c r="N117" s="47"/>
    </row>
    <row r="118" spans="2:14" x14ac:dyDescent="0.2">
      <c r="B118" s="48" t="str">
        <f>_xlfn.CONCAT(D111,"-",D113,"-",D109)</f>
        <v>DG-13-12/8</v>
      </c>
      <c r="C118" s="48"/>
      <c r="D118" s="48"/>
      <c r="E118" s="48"/>
      <c r="F118" s="48"/>
      <c r="G118" s="48"/>
      <c r="H118" s="2"/>
      <c r="I118" s="48" t="str">
        <f>_xlfn.CONCAT(K111,"-",K113,"-",K109)</f>
        <v>DG-14-12/8</v>
      </c>
      <c r="J118" s="48"/>
      <c r="K118" s="48"/>
      <c r="L118" s="48"/>
      <c r="M118" s="48"/>
      <c r="N118" s="48"/>
    </row>
    <row r="119" spans="2:14" x14ac:dyDescent="0.2">
      <c r="B119" s="48"/>
      <c r="C119" s="48"/>
      <c r="D119" s="48"/>
      <c r="E119" s="48"/>
      <c r="F119" s="48"/>
      <c r="G119" s="48"/>
      <c r="H119" s="2"/>
      <c r="I119" s="48"/>
      <c r="J119" s="48"/>
      <c r="K119" s="48"/>
      <c r="L119" s="48"/>
      <c r="M119" s="48"/>
      <c r="N119" s="48"/>
    </row>
    <row r="120" spans="2:14" x14ac:dyDescent="0.2">
      <c r="B120" s="48"/>
      <c r="C120" s="48"/>
      <c r="D120" s="48"/>
      <c r="E120" s="48"/>
      <c r="F120" s="48"/>
      <c r="G120" s="48"/>
      <c r="H120" s="2"/>
      <c r="I120" s="48"/>
      <c r="J120" s="48"/>
      <c r="K120" s="48"/>
      <c r="L120" s="48"/>
      <c r="M120" s="48"/>
      <c r="N120" s="48"/>
    </row>
    <row r="121" spans="2:14" x14ac:dyDescent="0.2">
      <c r="B121" s="48"/>
      <c r="C121" s="48"/>
      <c r="D121" s="48"/>
      <c r="E121" s="48"/>
      <c r="F121" s="48"/>
      <c r="G121" s="48"/>
      <c r="H121" s="2"/>
      <c r="I121" s="48"/>
      <c r="J121" s="48"/>
      <c r="K121" s="48"/>
      <c r="L121" s="48"/>
      <c r="M121" s="48"/>
      <c r="N121" s="48"/>
    </row>
    <row r="122" spans="2:14" x14ac:dyDescent="0.2">
      <c r="B122" s="48"/>
      <c r="C122" s="48"/>
      <c r="D122" s="48"/>
      <c r="E122" s="48"/>
      <c r="F122" s="48"/>
      <c r="G122" s="48"/>
      <c r="H122" s="2"/>
      <c r="I122" s="48"/>
      <c r="J122" s="48"/>
      <c r="K122" s="48"/>
      <c r="L122" s="48"/>
      <c r="M122" s="48"/>
      <c r="N122" s="48"/>
    </row>
    <row r="123" spans="2:14" x14ac:dyDescent="0.2">
      <c r="B123" s="48"/>
      <c r="C123" s="48"/>
      <c r="D123" s="48"/>
      <c r="E123" s="48"/>
      <c r="F123" s="48"/>
      <c r="G123" s="48"/>
      <c r="H123" s="2"/>
      <c r="I123" s="48"/>
      <c r="J123" s="48"/>
      <c r="K123" s="48"/>
      <c r="L123" s="48"/>
      <c r="M123" s="48"/>
      <c r="N123" s="48"/>
    </row>
    <row r="124" spans="2:14" x14ac:dyDescent="0.2">
      <c r="B124" s="48"/>
      <c r="C124" s="48"/>
      <c r="D124" s="48"/>
      <c r="E124" s="48"/>
      <c r="F124" s="48"/>
      <c r="G124" s="48"/>
      <c r="H124" s="2"/>
      <c r="I124" s="48"/>
      <c r="J124" s="48"/>
      <c r="K124" s="48"/>
      <c r="L124" s="48"/>
      <c r="M124" s="48"/>
      <c r="N124" s="48"/>
    </row>
    <row r="126" spans="2:14" x14ac:dyDescent="0.2">
      <c r="B126" s="40" t="s">
        <v>69</v>
      </c>
      <c r="C126" s="41"/>
      <c r="D126" s="46" t="str">
        <f>K109</f>
        <v>12/8</v>
      </c>
      <c r="E126" s="44"/>
      <c r="F126" s="44"/>
      <c r="G126" s="41"/>
      <c r="H126" s="2"/>
      <c r="I126" s="40" t="s">
        <v>69</v>
      </c>
      <c r="J126" s="41"/>
      <c r="K126" s="46" t="str">
        <f>D126</f>
        <v>12/8</v>
      </c>
      <c r="L126" s="44"/>
      <c r="M126" s="44"/>
      <c r="N126" s="41"/>
    </row>
    <row r="127" spans="2:14" x14ac:dyDescent="0.2">
      <c r="B127" s="42"/>
      <c r="C127" s="43"/>
      <c r="D127" s="42"/>
      <c r="E127" s="45"/>
      <c r="F127" s="45"/>
      <c r="G127" s="43"/>
      <c r="H127" s="2"/>
      <c r="I127" s="42"/>
      <c r="J127" s="43"/>
      <c r="K127" s="42"/>
      <c r="L127" s="45"/>
      <c r="M127" s="45"/>
      <c r="N127" s="43"/>
    </row>
    <row r="128" spans="2:14" x14ac:dyDescent="0.2">
      <c r="B128" s="40" t="s">
        <v>25</v>
      </c>
      <c r="C128" s="41"/>
      <c r="D128" s="46" t="str">
        <f>K111</f>
        <v>DG</v>
      </c>
      <c r="E128" s="44"/>
      <c r="F128" s="44"/>
      <c r="G128" s="41"/>
      <c r="H128" s="2"/>
      <c r="I128" s="40" t="s">
        <v>25</v>
      </c>
      <c r="J128" s="41"/>
      <c r="K128" s="46" t="str">
        <f>D128</f>
        <v>DG</v>
      </c>
      <c r="L128" s="44"/>
      <c r="M128" s="44"/>
      <c r="N128" s="41"/>
    </row>
    <row r="129" spans="2:14" x14ac:dyDescent="0.2">
      <c r="B129" s="42"/>
      <c r="C129" s="43"/>
      <c r="D129" s="42"/>
      <c r="E129" s="45"/>
      <c r="F129" s="45"/>
      <c r="G129" s="43"/>
      <c r="H129" s="2"/>
      <c r="I129" s="42"/>
      <c r="J129" s="43"/>
      <c r="K129" s="42"/>
      <c r="L129" s="45"/>
      <c r="M129" s="45"/>
      <c r="N129" s="43"/>
    </row>
    <row r="130" spans="2:14" ht="14.25" customHeight="1" x14ac:dyDescent="0.2">
      <c r="B130" s="40" t="s">
        <v>28</v>
      </c>
      <c r="C130" s="41"/>
      <c r="D130" s="40">
        <f>+K113+1</f>
        <v>15</v>
      </c>
      <c r="E130" s="44"/>
      <c r="F130" s="44"/>
      <c r="G130" s="41"/>
      <c r="H130" s="2"/>
      <c r="I130" s="40" t="s">
        <v>28</v>
      </c>
      <c r="J130" s="41"/>
      <c r="K130" s="40">
        <f>+D130+1</f>
        <v>16</v>
      </c>
      <c r="L130" s="44"/>
      <c r="M130" s="44"/>
      <c r="N130" s="41"/>
    </row>
    <row r="131" spans="2:14" ht="14.25" customHeight="1" x14ac:dyDescent="0.2">
      <c r="B131" s="42"/>
      <c r="C131" s="43"/>
      <c r="D131" s="42"/>
      <c r="E131" s="45"/>
      <c r="F131" s="45"/>
      <c r="G131" s="43"/>
      <c r="H131" s="2"/>
      <c r="I131" s="42"/>
      <c r="J131" s="43"/>
      <c r="K131" s="42"/>
      <c r="L131" s="45"/>
      <c r="M131" s="45"/>
      <c r="N131" s="43"/>
    </row>
    <row r="132" spans="2:14" ht="11.25" customHeight="1" x14ac:dyDescent="0.2">
      <c r="B132" s="40" t="s">
        <v>29</v>
      </c>
      <c r="C132" s="41"/>
      <c r="D132" s="49" t="str">
        <f>_xlfn.CONCAT("*",B135,"*")</f>
        <v>*DG-15-12/8*</v>
      </c>
      <c r="E132" s="50"/>
      <c r="F132" s="50"/>
      <c r="G132" s="51"/>
      <c r="H132" s="2"/>
      <c r="I132" s="40" t="s">
        <v>29</v>
      </c>
      <c r="J132" s="41"/>
      <c r="K132" s="49" t="str">
        <f>_xlfn.CONCAT("*",I135,"*")</f>
        <v>*DG-16-12/8*</v>
      </c>
      <c r="L132" s="50"/>
      <c r="M132" s="50"/>
      <c r="N132" s="51"/>
    </row>
    <row r="133" spans="2:14" ht="11.25" customHeight="1" x14ac:dyDescent="0.2">
      <c r="B133" s="42"/>
      <c r="C133" s="43"/>
      <c r="D133" s="52"/>
      <c r="E133" s="53"/>
      <c r="F133" s="53"/>
      <c r="G133" s="54"/>
      <c r="H133" s="2"/>
      <c r="I133" s="42"/>
      <c r="J133" s="43"/>
      <c r="K133" s="52"/>
      <c r="L133" s="53"/>
      <c r="M133" s="53"/>
      <c r="N133" s="54"/>
    </row>
    <row r="134" spans="2:14" ht="13.5" x14ac:dyDescent="0.2">
      <c r="B134" s="47" t="s">
        <v>30</v>
      </c>
      <c r="C134" s="47"/>
      <c r="D134" s="47"/>
      <c r="E134" s="47"/>
      <c r="F134" s="47"/>
      <c r="G134" s="47"/>
      <c r="H134" s="2"/>
      <c r="I134" s="47" t="s">
        <v>30</v>
      </c>
      <c r="J134" s="47"/>
      <c r="K134" s="47"/>
      <c r="L134" s="47"/>
      <c r="M134" s="47"/>
      <c r="N134" s="47"/>
    </row>
    <row r="135" spans="2:14" x14ac:dyDescent="0.2">
      <c r="B135" s="48" t="str">
        <f>_xlfn.CONCAT(D128,"-",D130,"-",D126)</f>
        <v>DG-15-12/8</v>
      </c>
      <c r="C135" s="48"/>
      <c r="D135" s="48"/>
      <c r="E135" s="48"/>
      <c r="F135" s="48"/>
      <c r="G135" s="48"/>
      <c r="H135" s="2"/>
      <c r="I135" s="48" t="str">
        <f>_xlfn.CONCAT(K128,"-",K130,"-",K126)</f>
        <v>DG-16-12/8</v>
      </c>
      <c r="J135" s="48"/>
      <c r="K135" s="48"/>
      <c r="L135" s="48"/>
      <c r="M135" s="48"/>
      <c r="N135" s="48"/>
    </row>
    <row r="136" spans="2:14" x14ac:dyDescent="0.2">
      <c r="B136" s="48"/>
      <c r="C136" s="48"/>
      <c r="D136" s="48"/>
      <c r="E136" s="48"/>
      <c r="F136" s="48"/>
      <c r="G136" s="48"/>
      <c r="H136" s="2"/>
      <c r="I136" s="48"/>
      <c r="J136" s="48"/>
      <c r="K136" s="48"/>
      <c r="L136" s="48"/>
      <c r="M136" s="48"/>
      <c r="N136" s="48"/>
    </row>
    <row r="137" spans="2:14" x14ac:dyDescent="0.2">
      <c r="B137" s="48"/>
      <c r="C137" s="48"/>
      <c r="D137" s="48"/>
      <c r="E137" s="48"/>
      <c r="F137" s="48"/>
      <c r="G137" s="48"/>
      <c r="H137" s="2"/>
      <c r="I137" s="48"/>
      <c r="J137" s="48"/>
      <c r="K137" s="48"/>
      <c r="L137" s="48"/>
      <c r="M137" s="48"/>
      <c r="N137" s="48"/>
    </row>
    <row r="138" spans="2:14" x14ac:dyDescent="0.2">
      <c r="B138" s="48"/>
      <c r="C138" s="48"/>
      <c r="D138" s="48"/>
      <c r="E138" s="48"/>
      <c r="F138" s="48"/>
      <c r="G138" s="48"/>
      <c r="H138" s="2"/>
      <c r="I138" s="48"/>
      <c r="J138" s="48"/>
      <c r="K138" s="48"/>
      <c r="L138" s="48"/>
      <c r="M138" s="48"/>
      <c r="N138" s="48"/>
    </row>
    <row r="139" spans="2:14" x14ac:dyDescent="0.2">
      <c r="B139" s="48"/>
      <c r="C139" s="48"/>
      <c r="D139" s="48"/>
      <c r="E139" s="48"/>
      <c r="F139" s="48"/>
      <c r="G139" s="48"/>
      <c r="H139" s="2"/>
      <c r="I139" s="48"/>
      <c r="J139" s="48"/>
      <c r="K139" s="48"/>
      <c r="L139" s="48"/>
      <c r="M139" s="48"/>
      <c r="N139" s="48"/>
    </row>
    <row r="140" spans="2:14" x14ac:dyDescent="0.2">
      <c r="B140" s="48"/>
      <c r="C140" s="48"/>
      <c r="D140" s="48"/>
      <c r="E140" s="48"/>
      <c r="F140" s="48"/>
      <c r="G140" s="48"/>
      <c r="H140" s="2"/>
      <c r="I140" s="48"/>
      <c r="J140" s="48"/>
      <c r="K140" s="48"/>
      <c r="L140" s="48"/>
      <c r="M140" s="48"/>
      <c r="N140" s="48"/>
    </row>
    <row r="141" spans="2:14" x14ac:dyDescent="0.2">
      <c r="B141" s="48"/>
      <c r="C141" s="48"/>
      <c r="D141" s="48"/>
      <c r="E141" s="48"/>
      <c r="F141" s="48"/>
      <c r="G141" s="48"/>
      <c r="H141" s="2"/>
      <c r="I141" s="48"/>
      <c r="J141" s="48"/>
      <c r="K141" s="48"/>
      <c r="L141" s="48"/>
      <c r="M141" s="48"/>
      <c r="N141" s="48"/>
    </row>
    <row r="143" spans="2:14" x14ac:dyDescent="0.2">
      <c r="B143" s="40" t="s">
        <v>69</v>
      </c>
      <c r="C143" s="41"/>
      <c r="D143" s="46" t="str">
        <f>K126</f>
        <v>12/8</v>
      </c>
      <c r="E143" s="44"/>
      <c r="F143" s="44"/>
      <c r="G143" s="41"/>
      <c r="H143" s="2"/>
      <c r="I143" s="40" t="s">
        <v>69</v>
      </c>
      <c r="J143" s="41"/>
      <c r="K143" s="46" t="str">
        <f>D143</f>
        <v>12/8</v>
      </c>
      <c r="L143" s="44"/>
      <c r="M143" s="44"/>
      <c r="N143" s="41"/>
    </row>
    <row r="144" spans="2:14" x14ac:dyDescent="0.2">
      <c r="B144" s="42"/>
      <c r="C144" s="43"/>
      <c r="D144" s="42"/>
      <c r="E144" s="45"/>
      <c r="F144" s="45"/>
      <c r="G144" s="43"/>
      <c r="H144" s="2"/>
      <c r="I144" s="42"/>
      <c r="J144" s="43"/>
      <c r="K144" s="42"/>
      <c r="L144" s="45"/>
      <c r="M144" s="45"/>
      <c r="N144" s="43"/>
    </row>
    <row r="145" spans="2:14" x14ac:dyDescent="0.2">
      <c r="B145" s="40" t="s">
        <v>25</v>
      </c>
      <c r="C145" s="41"/>
      <c r="D145" s="46" t="str">
        <f>K128</f>
        <v>DG</v>
      </c>
      <c r="E145" s="44"/>
      <c r="F145" s="44"/>
      <c r="G145" s="41"/>
      <c r="H145" s="2"/>
      <c r="I145" s="40" t="s">
        <v>25</v>
      </c>
      <c r="J145" s="41"/>
      <c r="K145" s="46" t="str">
        <f>D145</f>
        <v>DG</v>
      </c>
      <c r="L145" s="44"/>
      <c r="M145" s="44"/>
      <c r="N145" s="41"/>
    </row>
    <row r="146" spans="2:14" x14ac:dyDescent="0.2">
      <c r="B146" s="42"/>
      <c r="C146" s="43"/>
      <c r="D146" s="42"/>
      <c r="E146" s="45"/>
      <c r="F146" s="45"/>
      <c r="G146" s="43"/>
      <c r="H146" s="2"/>
      <c r="I146" s="42"/>
      <c r="J146" s="43"/>
      <c r="K146" s="42"/>
      <c r="L146" s="45"/>
      <c r="M146" s="45"/>
      <c r="N146" s="43"/>
    </row>
    <row r="147" spans="2:14" ht="14.25" customHeight="1" x14ac:dyDescent="0.2">
      <c r="B147" s="40" t="s">
        <v>28</v>
      </c>
      <c r="C147" s="41"/>
      <c r="D147" s="40">
        <f>+K130+1</f>
        <v>17</v>
      </c>
      <c r="E147" s="44"/>
      <c r="F147" s="44"/>
      <c r="G147" s="41"/>
      <c r="H147" s="2"/>
      <c r="I147" s="40" t="s">
        <v>28</v>
      </c>
      <c r="J147" s="41"/>
      <c r="K147" s="40">
        <f>+D147+1</f>
        <v>18</v>
      </c>
      <c r="L147" s="44"/>
      <c r="M147" s="44"/>
      <c r="N147" s="41"/>
    </row>
    <row r="148" spans="2:14" ht="14.25" customHeight="1" x14ac:dyDescent="0.2">
      <c r="B148" s="42"/>
      <c r="C148" s="43"/>
      <c r="D148" s="42"/>
      <c r="E148" s="45"/>
      <c r="F148" s="45"/>
      <c r="G148" s="43"/>
      <c r="H148" s="2"/>
      <c r="I148" s="42"/>
      <c r="J148" s="43"/>
      <c r="K148" s="42"/>
      <c r="L148" s="45"/>
      <c r="M148" s="45"/>
      <c r="N148" s="43"/>
    </row>
    <row r="149" spans="2:14" ht="11.25" customHeight="1" x14ac:dyDescent="0.2">
      <c r="B149" s="40" t="s">
        <v>29</v>
      </c>
      <c r="C149" s="41"/>
      <c r="D149" s="49" t="str">
        <f>_xlfn.CONCAT("*",B152,"*")</f>
        <v>*DG-17-12/8*</v>
      </c>
      <c r="E149" s="50"/>
      <c r="F149" s="50"/>
      <c r="G149" s="51"/>
      <c r="H149" s="2"/>
      <c r="I149" s="40" t="s">
        <v>29</v>
      </c>
      <c r="J149" s="41"/>
      <c r="K149" s="49" t="str">
        <f>_xlfn.CONCAT("*",I152,"*")</f>
        <v>*DG-18-12/8*</v>
      </c>
      <c r="L149" s="50"/>
      <c r="M149" s="50"/>
      <c r="N149" s="51"/>
    </row>
    <row r="150" spans="2:14" ht="11.25" customHeight="1" x14ac:dyDescent="0.2">
      <c r="B150" s="42"/>
      <c r="C150" s="43"/>
      <c r="D150" s="52"/>
      <c r="E150" s="53"/>
      <c r="F150" s="53"/>
      <c r="G150" s="54"/>
      <c r="H150" s="2"/>
      <c r="I150" s="42"/>
      <c r="J150" s="43"/>
      <c r="K150" s="52"/>
      <c r="L150" s="53"/>
      <c r="M150" s="53"/>
      <c r="N150" s="54"/>
    </row>
    <row r="151" spans="2:14" ht="13.5" x14ac:dyDescent="0.2">
      <c r="B151" s="47" t="s">
        <v>30</v>
      </c>
      <c r="C151" s="47"/>
      <c r="D151" s="47"/>
      <c r="E151" s="47"/>
      <c r="F151" s="47"/>
      <c r="G151" s="47"/>
      <c r="H151" s="2"/>
      <c r="I151" s="47" t="s">
        <v>30</v>
      </c>
      <c r="J151" s="47"/>
      <c r="K151" s="47"/>
      <c r="L151" s="47"/>
      <c r="M151" s="47"/>
      <c r="N151" s="47"/>
    </row>
    <row r="152" spans="2:14" x14ac:dyDescent="0.2">
      <c r="B152" s="48" t="str">
        <f>_xlfn.CONCAT(D145,"-",D147,"-",D143)</f>
        <v>DG-17-12/8</v>
      </c>
      <c r="C152" s="48"/>
      <c r="D152" s="48"/>
      <c r="E152" s="48"/>
      <c r="F152" s="48"/>
      <c r="G152" s="48"/>
      <c r="H152" s="2"/>
      <c r="I152" s="48" t="str">
        <f>_xlfn.CONCAT(K145,"-",K147,"-",K143)</f>
        <v>DG-18-12/8</v>
      </c>
      <c r="J152" s="48"/>
      <c r="K152" s="48"/>
      <c r="L152" s="48"/>
      <c r="M152" s="48"/>
      <c r="N152" s="48"/>
    </row>
    <row r="153" spans="2:14" x14ac:dyDescent="0.2">
      <c r="B153" s="48"/>
      <c r="C153" s="48"/>
      <c r="D153" s="48"/>
      <c r="E153" s="48"/>
      <c r="F153" s="48"/>
      <c r="G153" s="48"/>
      <c r="H153" s="2"/>
      <c r="I153" s="48"/>
      <c r="J153" s="48"/>
      <c r="K153" s="48"/>
      <c r="L153" s="48"/>
      <c r="M153" s="48"/>
      <c r="N153" s="48"/>
    </row>
    <row r="154" spans="2:14" x14ac:dyDescent="0.2">
      <c r="B154" s="48"/>
      <c r="C154" s="48"/>
      <c r="D154" s="48"/>
      <c r="E154" s="48"/>
      <c r="F154" s="48"/>
      <c r="G154" s="48"/>
      <c r="H154" s="2"/>
      <c r="I154" s="48"/>
      <c r="J154" s="48"/>
      <c r="K154" s="48"/>
      <c r="L154" s="48"/>
      <c r="M154" s="48"/>
      <c r="N154" s="48"/>
    </row>
    <row r="155" spans="2:14" x14ac:dyDescent="0.2">
      <c r="B155" s="48"/>
      <c r="C155" s="48"/>
      <c r="D155" s="48"/>
      <c r="E155" s="48"/>
      <c r="F155" s="48"/>
      <c r="G155" s="48"/>
      <c r="H155" s="2"/>
      <c r="I155" s="48"/>
      <c r="J155" s="48"/>
      <c r="K155" s="48"/>
      <c r="L155" s="48"/>
      <c r="M155" s="48"/>
      <c r="N155" s="48"/>
    </row>
    <row r="156" spans="2:14" x14ac:dyDescent="0.2">
      <c r="B156" s="48"/>
      <c r="C156" s="48"/>
      <c r="D156" s="48"/>
      <c r="E156" s="48"/>
      <c r="F156" s="48"/>
      <c r="G156" s="48"/>
      <c r="H156" s="2"/>
      <c r="I156" s="48"/>
      <c r="J156" s="48"/>
      <c r="K156" s="48"/>
      <c r="L156" s="48"/>
      <c r="M156" s="48"/>
      <c r="N156" s="48"/>
    </row>
    <row r="157" spans="2:14" x14ac:dyDescent="0.2">
      <c r="B157" s="48"/>
      <c r="C157" s="48"/>
      <c r="D157" s="48"/>
      <c r="E157" s="48"/>
      <c r="F157" s="48"/>
      <c r="G157" s="48"/>
      <c r="H157" s="2"/>
      <c r="I157" s="48"/>
      <c r="J157" s="48"/>
      <c r="K157" s="48"/>
      <c r="L157" s="48"/>
      <c r="M157" s="48"/>
      <c r="N157" s="48"/>
    </row>
    <row r="158" spans="2:14" x14ac:dyDescent="0.2">
      <c r="B158" s="48"/>
      <c r="C158" s="48"/>
      <c r="D158" s="48"/>
      <c r="E158" s="48"/>
      <c r="F158" s="48"/>
      <c r="G158" s="48"/>
      <c r="H158" s="2"/>
      <c r="I158" s="48"/>
      <c r="J158" s="48"/>
      <c r="K158" s="48"/>
      <c r="L158" s="48"/>
      <c r="M158" s="48"/>
      <c r="N158" s="48"/>
    </row>
    <row r="160" spans="2:14" x14ac:dyDescent="0.2">
      <c r="B160" s="40" t="s">
        <v>69</v>
      </c>
      <c r="C160" s="41"/>
      <c r="D160" s="46" t="str">
        <f>K143</f>
        <v>12/8</v>
      </c>
      <c r="E160" s="44"/>
      <c r="F160" s="44"/>
      <c r="G160" s="41"/>
      <c r="H160" s="2"/>
      <c r="I160" s="40" t="s">
        <v>69</v>
      </c>
      <c r="J160" s="41"/>
      <c r="K160" s="46" t="str">
        <f>D160</f>
        <v>12/8</v>
      </c>
      <c r="L160" s="44"/>
      <c r="M160" s="44"/>
      <c r="N160" s="41"/>
    </row>
    <row r="161" spans="2:14" x14ac:dyDescent="0.2">
      <c r="B161" s="42"/>
      <c r="C161" s="43"/>
      <c r="D161" s="42"/>
      <c r="E161" s="45"/>
      <c r="F161" s="45"/>
      <c r="G161" s="43"/>
      <c r="H161" s="2"/>
      <c r="I161" s="42"/>
      <c r="J161" s="43"/>
      <c r="K161" s="42"/>
      <c r="L161" s="45"/>
      <c r="M161" s="45"/>
      <c r="N161" s="43"/>
    </row>
    <row r="162" spans="2:14" x14ac:dyDescent="0.2">
      <c r="B162" s="40" t="s">
        <v>25</v>
      </c>
      <c r="C162" s="41"/>
      <c r="D162" s="46" t="str">
        <f>K145</f>
        <v>DG</v>
      </c>
      <c r="E162" s="44"/>
      <c r="F162" s="44"/>
      <c r="G162" s="41"/>
      <c r="H162" s="2"/>
      <c r="I162" s="40" t="s">
        <v>25</v>
      </c>
      <c r="J162" s="41"/>
      <c r="K162" s="46" t="str">
        <f>D162</f>
        <v>DG</v>
      </c>
      <c r="L162" s="44"/>
      <c r="M162" s="44"/>
      <c r="N162" s="41"/>
    </row>
    <row r="163" spans="2:14" x14ac:dyDescent="0.2">
      <c r="B163" s="42"/>
      <c r="C163" s="43"/>
      <c r="D163" s="42"/>
      <c r="E163" s="45"/>
      <c r="F163" s="45"/>
      <c r="G163" s="43"/>
      <c r="H163" s="2"/>
      <c r="I163" s="42"/>
      <c r="J163" s="43"/>
      <c r="K163" s="42"/>
      <c r="L163" s="45"/>
      <c r="M163" s="45"/>
      <c r="N163" s="43"/>
    </row>
    <row r="164" spans="2:14" ht="14.25" customHeight="1" x14ac:dyDescent="0.2">
      <c r="B164" s="40" t="s">
        <v>28</v>
      </c>
      <c r="C164" s="41"/>
      <c r="D164" s="40">
        <f>+K147+1</f>
        <v>19</v>
      </c>
      <c r="E164" s="44"/>
      <c r="F164" s="44"/>
      <c r="G164" s="41"/>
      <c r="H164" s="2"/>
      <c r="I164" s="40" t="s">
        <v>28</v>
      </c>
      <c r="J164" s="41"/>
      <c r="K164" s="40">
        <f>+D164+1</f>
        <v>20</v>
      </c>
      <c r="L164" s="44"/>
      <c r="M164" s="44"/>
      <c r="N164" s="41"/>
    </row>
    <row r="165" spans="2:14" ht="14.25" customHeight="1" x14ac:dyDescent="0.2">
      <c r="B165" s="42"/>
      <c r="C165" s="43"/>
      <c r="D165" s="42"/>
      <c r="E165" s="45"/>
      <c r="F165" s="45"/>
      <c r="G165" s="43"/>
      <c r="H165" s="2"/>
      <c r="I165" s="42"/>
      <c r="J165" s="43"/>
      <c r="K165" s="42"/>
      <c r="L165" s="45"/>
      <c r="M165" s="45"/>
      <c r="N165" s="43"/>
    </row>
    <row r="166" spans="2:14" ht="11.25" customHeight="1" x14ac:dyDescent="0.2">
      <c r="B166" s="40" t="s">
        <v>29</v>
      </c>
      <c r="C166" s="41"/>
      <c r="D166" s="49" t="str">
        <f>_xlfn.CONCAT("*",B169,"*")</f>
        <v>*DG-19-12/8*</v>
      </c>
      <c r="E166" s="50"/>
      <c r="F166" s="50"/>
      <c r="G166" s="51"/>
      <c r="H166" s="2"/>
      <c r="I166" s="40" t="s">
        <v>29</v>
      </c>
      <c r="J166" s="41"/>
      <c r="K166" s="49" t="str">
        <f>_xlfn.CONCAT("*",I169,"*")</f>
        <v>*DG-20-12/8*</v>
      </c>
      <c r="L166" s="50"/>
      <c r="M166" s="50"/>
      <c r="N166" s="51"/>
    </row>
    <row r="167" spans="2:14" ht="11.25" customHeight="1" x14ac:dyDescent="0.2">
      <c r="B167" s="42"/>
      <c r="C167" s="43"/>
      <c r="D167" s="52"/>
      <c r="E167" s="53"/>
      <c r="F167" s="53"/>
      <c r="G167" s="54"/>
      <c r="H167" s="2"/>
      <c r="I167" s="42"/>
      <c r="J167" s="43"/>
      <c r="K167" s="52"/>
      <c r="L167" s="53"/>
      <c r="M167" s="53"/>
      <c r="N167" s="54"/>
    </row>
    <row r="168" spans="2:14" ht="13.5" x14ac:dyDescent="0.2">
      <c r="B168" s="47" t="s">
        <v>30</v>
      </c>
      <c r="C168" s="47"/>
      <c r="D168" s="47"/>
      <c r="E168" s="47"/>
      <c r="F168" s="47"/>
      <c r="G168" s="47"/>
      <c r="H168" s="2"/>
      <c r="I168" s="47" t="s">
        <v>30</v>
      </c>
      <c r="J168" s="47"/>
      <c r="K168" s="47"/>
      <c r="L168" s="47"/>
      <c r="M168" s="47"/>
      <c r="N168" s="47"/>
    </row>
    <row r="169" spans="2:14" x14ac:dyDescent="0.2">
      <c r="B169" s="48" t="str">
        <f>_xlfn.CONCAT(D162,"-",D164,"-",D160)</f>
        <v>DG-19-12/8</v>
      </c>
      <c r="C169" s="48"/>
      <c r="D169" s="48"/>
      <c r="E169" s="48"/>
      <c r="F169" s="48"/>
      <c r="G169" s="48"/>
      <c r="H169" s="2"/>
      <c r="I169" s="48" t="str">
        <f>_xlfn.CONCAT(K162,"-",K164,"-",K160)</f>
        <v>DG-20-12/8</v>
      </c>
      <c r="J169" s="48"/>
      <c r="K169" s="48"/>
      <c r="L169" s="48"/>
      <c r="M169" s="48"/>
      <c r="N169" s="48"/>
    </row>
    <row r="170" spans="2:14" x14ac:dyDescent="0.2">
      <c r="B170" s="48"/>
      <c r="C170" s="48"/>
      <c r="D170" s="48"/>
      <c r="E170" s="48"/>
      <c r="F170" s="48"/>
      <c r="G170" s="48"/>
      <c r="H170" s="2"/>
      <c r="I170" s="48"/>
      <c r="J170" s="48"/>
      <c r="K170" s="48"/>
      <c r="L170" s="48"/>
      <c r="M170" s="48"/>
      <c r="N170" s="48"/>
    </row>
    <row r="171" spans="2:14" x14ac:dyDescent="0.2">
      <c r="B171" s="48"/>
      <c r="C171" s="48"/>
      <c r="D171" s="48"/>
      <c r="E171" s="48"/>
      <c r="F171" s="48"/>
      <c r="G171" s="48"/>
      <c r="H171" s="2"/>
      <c r="I171" s="48"/>
      <c r="J171" s="48"/>
      <c r="K171" s="48"/>
      <c r="L171" s="48"/>
      <c r="M171" s="48"/>
      <c r="N171" s="48"/>
    </row>
    <row r="172" spans="2:14" x14ac:dyDescent="0.2">
      <c r="B172" s="48"/>
      <c r="C172" s="48"/>
      <c r="D172" s="48"/>
      <c r="E172" s="48"/>
      <c r="F172" s="48"/>
      <c r="G172" s="48"/>
      <c r="H172" s="2"/>
      <c r="I172" s="48"/>
      <c r="J172" s="48"/>
      <c r="K172" s="48"/>
      <c r="L172" s="48"/>
      <c r="M172" s="48"/>
      <c r="N172" s="48"/>
    </row>
    <row r="173" spans="2:14" x14ac:dyDescent="0.2">
      <c r="B173" s="48"/>
      <c r="C173" s="48"/>
      <c r="D173" s="48"/>
      <c r="E173" s="48"/>
      <c r="F173" s="48"/>
      <c r="G173" s="48"/>
      <c r="H173" s="2"/>
      <c r="I173" s="48"/>
      <c r="J173" s="48"/>
      <c r="K173" s="48"/>
      <c r="L173" s="48"/>
      <c r="M173" s="48"/>
      <c r="N173" s="48"/>
    </row>
    <row r="174" spans="2:14" x14ac:dyDescent="0.2">
      <c r="B174" s="48"/>
      <c r="C174" s="48"/>
      <c r="D174" s="48"/>
      <c r="E174" s="48"/>
      <c r="F174" s="48"/>
      <c r="G174" s="48"/>
      <c r="H174" s="2"/>
      <c r="I174" s="48"/>
      <c r="J174" s="48"/>
      <c r="K174" s="48"/>
      <c r="L174" s="48"/>
      <c r="M174" s="48"/>
      <c r="N174" s="48"/>
    </row>
    <row r="175" spans="2:14" x14ac:dyDescent="0.2">
      <c r="B175" s="48"/>
      <c r="C175" s="48"/>
      <c r="D175" s="48"/>
      <c r="E175" s="48"/>
      <c r="F175" s="48"/>
      <c r="G175" s="48"/>
      <c r="H175" s="2"/>
      <c r="I175" s="48"/>
      <c r="J175" s="48"/>
      <c r="K175" s="48"/>
      <c r="L175" s="48"/>
      <c r="M175" s="48"/>
      <c r="N175" s="48"/>
    </row>
    <row r="177" spans="2:14" x14ac:dyDescent="0.2">
      <c r="B177" s="40" t="s">
        <v>69</v>
      </c>
      <c r="C177" s="41"/>
      <c r="D177" s="46" t="str">
        <f>K160</f>
        <v>12/8</v>
      </c>
      <c r="E177" s="44"/>
      <c r="F177" s="44"/>
      <c r="G177" s="41"/>
      <c r="H177" s="2"/>
      <c r="I177" s="40" t="s">
        <v>69</v>
      </c>
      <c r="J177" s="41"/>
      <c r="K177" s="46" t="str">
        <f>D177</f>
        <v>12/8</v>
      </c>
      <c r="L177" s="44"/>
      <c r="M177" s="44"/>
      <c r="N177" s="41"/>
    </row>
    <row r="178" spans="2:14" x14ac:dyDescent="0.2">
      <c r="B178" s="42"/>
      <c r="C178" s="43"/>
      <c r="D178" s="42"/>
      <c r="E178" s="45"/>
      <c r="F178" s="45"/>
      <c r="G178" s="43"/>
      <c r="H178" s="2"/>
      <c r="I178" s="42"/>
      <c r="J178" s="43"/>
      <c r="K178" s="42"/>
      <c r="L178" s="45"/>
      <c r="M178" s="45"/>
      <c r="N178" s="43"/>
    </row>
    <row r="179" spans="2:14" x14ac:dyDescent="0.2">
      <c r="B179" s="40" t="s">
        <v>25</v>
      </c>
      <c r="C179" s="41"/>
      <c r="D179" s="46" t="str">
        <f>K162</f>
        <v>DG</v>
      </c>
      <c r="E179" s="44"/>
      <c r="F179" s="44"/>
      <c r="G179" s="41"/>
      <c r="H179" s="2"/>
      <c r="I179" s="40" t="s">
        <v>25</v>
      </c>
      <c r="J179" s="41"/>
      <c r="K179" s="46" t="str">
        <f>D179</f>
        <v>DG</v>
      </c>
      <c r="L179" s="44"/>
      <c r="M179" s="44"/>
      <c r="N179" s="41"/>
    </row>
    <row r="180" spans="2:14" x14ac:dyDescent="0.2">
      <c r="B180" s="42"/>
      <c r="C180" s="43"/>
      <c r="D180" s="42"/>
      <c r="E180" s="45"/>
      <c r="F180" s="45"/>
      <c r="G180" s="43"/>
      <c r="H180" s="2"/>
      <c r="I180" s="42"/>
      <c r="J180" s="43"/>
      <c r="K180" s="42"/>
      <c r="L180" s="45"/>
      <c r="M180" s="45"/>
      <c r="N180" s="43"/>
    </row>
    <row r="181" spans="2:14" ht="14.25" customHeight="1" x14ac:dyDescent="0.2">
      <c r="B181" s="40" t="s">
        <v>28</v>
      </c>
      <c r="C181" s="41"/>
      <c r="D181" s="40">
        <f>+K164+1</f>
        <v>21</v>
      </c>
      <c r="E181" s="44"/>
      <c r="F181" s="44"/>
      <c r="G181" s="41"/>
      <c r="H181" s="2"/>
      <c r="I181" s="40" t="s">
        <v>28</v>
      </c>
      <c r="J181" s="41"/>
      <c r="K181" s="40">
        <f>+D181+1</f>
        <v>22</v>
      </c>
      <c r="L181" s="44"/>
      <c r="M181" s="44"/>
      <c r="N181" s="41"/>
    </row>
    <row r="182" spans="2:14" ht="14.25" customHeight="1" x14ac:dyDescent="0.2">
      <c r="B182" s="42"/>
      <c r="C182" s="43"/>
      <c r="D182" s="42"/>
      <c r="E182" s="45"/>
      <c r="F182" s="45"/>
      <c r="G182" s="43"/>
      <c r="H182" s="2"/>
      <c r="I182" s="42"/>
      <c r="J182" s="43"/>
      <c r="K182" s="42"/>
      <c r="L182" s="45"/>
      <c r="M182" s="45"/>
      <c r="N182" s="43"/>
    </row>
    <row r="183" spans="2:14" ht="11.25" customHeight="1" x14ac:dyDescent="0.2">
      <c r="B183" s="40" t="s">
        <v>29</v>
      </c>
      <c r="C183" s="41"/>
      <c r="D183" s="49" t="str">
        <f>_xlfn.CONCAT("*",B186,"*")</f>
        <v>*DG-21-12/8*</v>
      </c>
      <c r="E183" s="50"/>
      <c r="F183" s="50"/>
      <c r="G183" s="51"/>
      <c r="H183" s="2"/>
      <c r="I183" s="40" t="s">
        <v>29</v>
      </c>
      <c r="J183" s="41"/>
      <c r="K183" s="49" t="str">
        <f>_xlfn.CONCAT("*",I186,"*")</f>
        <v>*DG-22-12/8*</v>
      </c>
      <c r="L183" s="50"/>
      <c r="M183" s="50"/>
      <c r="N183" s="51"/>
    </row>
    <row r="184" spans="2:14" ht="11.25" customHeight="1" x14ac:dyDescent="0.2">
      <c r="B184" s="42"/>
      <c r="C184" s="43"/>
      <c r="D184" s="52"/>
      <c r="E184" s="53"/>
      <c r="F184" s="53"/>
      <c r="G184" s="54"/>
      <c r="H184" s="2"/>
      <c r="I184" s="42"/>
      <c r="J184" s="43"/>
      <c r="K184" s="52"/>
      <c r="L184" s="53"/>
      <c r="M184" s="53"/>
      <c r="N184" s="54"/>
    </row>
    <row r="185" spans="2:14" ht="13.5" x14ac:dyDescent="0.2">
      <c r="B185" s="47" t="s">
        <v>30</v>
      </c>
      <c r="C185" s="47"/>
      <c r="D185" s="47"/>
      <c r="E185" s="47"/>
      <c r="F185" s="47"/>
      <c r="G185" s="47"/>
      <c r="H185" s="2"/>
      <c r="I185" s="47" t="s">
        <v>30</v>
      </c>
      <c r="J185" s="47"/>
      <c r="K185" s="47"/>
      <c r="L185" s="47"/>
      <c r="M185" s="47"/>
      <c r="N185" s="47"/>
    </row>
    <row r="186" spans="2:14" x14ac:dyDescent="0.2">
      <c r="B186" s="48" t="str">
        <f>_xlfn.CONCAT(D179,"-",D181,"-",D177)</f>
        <v>DG-21-12/8</v>
      </c>
      <c r="C186" s="48"/>
      <c r="D186" s="48"/>
      <c r="E186" s="48"/>
      <c r="F186" s="48"/>
      <c r="G186" s="48"/>
      <c r="H186" s="2"/>
      <c r="I186" s="48" t="str">
        <f>_xlfn.CONCAT(K179,"-",K181,"-",K177)</f>
        <v>DG-22-12/8</v>
      </c>
      <c r="J186" s="48"/>
      <c r="K186" s="48"/>
      <c r="L186" s="48"/>
      <c r="M186" s="48"/>
      <c r="N186" s="48"/>
    </row>
    <row r="187" spans="2:14" x14ac:dyDescent="0.2">
      <c r="B187" s="48"/>
      <c r="C187" s="48"/>
      <c r="D187" s="48"/>
      <c r="E187" s="48"/>
      <c r="F187" s="48"/>
      <c r="G187" s="48"/>
      <c r="H187" s="2"/>
      <c r="I187" s="48"/>
      <c r="J187" s="48"/>
      <c r="K187" s="48"/>
      <c r="L187" s="48"/>
      <c r="M187" s="48"/>
      <c r="N187" s="48"/>
    </row>
    <row r="188" spans="2:14" x14ac:dyDescent="0.2">
      <c r="B188" s="48"/>
      <c r="C188" s="48"/>
      <c r="D188" s="48"/>
      <c r="E188" s="48"/>
      <c r="F188" s="48"/>
      <c r="G188" s="48"/>
      <c r="H188" s="2"/>
      <c r="I188" s="48"/>
      <c r="J188" s="48"/>
      <c r="K188" s="48"/>
      <c r="L188" s="48"/>
      <c r="M188" s="48"/>
      <c r="N188" s="48"/>
    </row>
    <row r="189" spans="2:14" x14ac:dyDescent="0.2">
      <c r="B189" s="48"/>
      <c r="C189" s="48"/>
      <c r="D189" s="48"/>
      <c r="E189" s="48"/>
      <c r="F189" s="48"/>
      <c r="G189" s="48"/>
      <c r="H189" s="2"/>
      <c r="I189" s="48"/>
      <c r="J189" s="48"/>
      <c r="K189" s="48"/>
      <c r="L189" s="48"/>
      <c r="M189" s="48"/>
      <c r="N189" s="48"/>
    </row>
    <row r="190" spans="2:14" x14ac:dyDescent="0.2">
      <c r="B190" s="48"/>
      <c r="C190" s="48"/>
      <c r="D190" s="48"/>
      <c r="E190" s="48"/>
      <c r="F190" s="48"/>
      <c r="G190" s="48"/>
      <c r="H190" s="2"/>
      <c r="I190" s="48"/>
      <c r="J190" s="48"/>
      <c r="K190" s="48"/>
      <c r="L190" s="48"/>
      <c r="M190" s="48"/>
      <c r="N190" s="48"/>
    </row>
    <row r="191" spans="2:14" x14ac:dyDescent="0.2">
      <c r="B191" s="48"/>
      <c r="C191" s="48"/>
      <c r="D191" s="48"/>
      <c r="E191" s="48"/>
      <c r="F191" s="48"/>
      <c r="G191" s="48"/>
      <c r="H191" s="2"/>
      <c r="I191" s="48"/>
      <c r="J191" s="48"/>
      <c r="K191" s="48"/>
      <c r="L191" s="48"/>
      <c r="M191" s="48"/>
      <c r="N191" s="48"/>
    </row>
    <row r="192" spans="2:14" x14ac:dyDescent="0.2">
      <c r="B192" s="48"/>
      <c r="C192" s="48"/>
      <c r="D192" s="48"/>
      <c r="E192" s="48"/>
      <c r="F192" s="48"/>
      <c r="G192" s="48"/>
      <c r="H192" s="2"/>
      <c r="I192" s="48"/>
      <c r="J192" s="48"/>
      <c r="K192" s="48"/>
      <c r="L192" s="48"/>
      <c r="M192" s="48"/>
      <c r="N192" s="48"/>
    </row>
    <row r="194" spans="2:14" x14ac:dyDescent="0.2">
      <c r="B194" s="40" t="s">
        <v>69</v>
      </c>
      <c r="C194" s="41"/>
      <c r="D194" s="46" t="str">
        <f>K177</f>
        <v>12/8</v>
      </c>
      <c r="E194" s="44"/>
      <c r="F194" s="44"/>
      <c r="G194" s="41"/>
      <c r="H194" s="2"/>
      <c r="I194" s="40" t="s">
        <v>69</v>
      </c>
      <c r="J194" s="41"/>
      <c r="K194" s="46" t="str">
        <f>D194</f>
        <v>12/8</v>
      </c>
      <c r="L194" s="44"/>
      <c r="M194" s="44"/>
      <c r="N194" s="41"/>
    </row>
    <row r="195" spans="2:14" x14ac:dyDescent="0.2">
      <c r="B195" s="42"/>
      <c r="C195" s="43"/>
      <c r="D195" s="42"/>
      <c r="E195" s="45"/>
      <c r="F195" s="45"/>
      <c r="G195" s="43"/>
      <c r="H195" s="2"/>
      <c r="I195" s="42"/>
      <c r="J195" s="43"/>
      <c r="K195" s="42"/>
      <c r="L195" s="45"/>
      <c r="M195" s="45"/>
      <c r="N195" s="43"/>
    </row>
    <row r="196" spans="2:14" x14ac:dyDescent="0.2">
      <c r="B196" s="40" t="s">
        <v>25</v>
      </c>
      <c r="C196" s="41"/>
      <c r="D196" s="46" t="str">
        <f>K179</f>
        <v>DG</v>
      </c>
      <c r="E196" s="44"/>
      <c r="F196" s="44"/>
      <c r="G196" s="41"/>
      <c r="H196" s="2"/>
      <c r="I196" s="40" t="s">
        <v>25</v>
      </c>
      <c r="J196" s="41"/>
      <c r="K196" s="46" t="str">
        <f>D196</f>
        <v>DG</v>
      </c>
      <c r="L196" s="44"/>
      <c r="M196" s="44"/>
      <c r="N196" s="41"/>
    </row>
    <row r="197" spans="2:14" x14ac:dyDescent="0.2">
      <c r="B197" s="42"/>
      <c r="C197" s="43"/>
      <c r="D197" s="42"/>
      <c r="E197" s="45"/>
      <c r="F197" s="45"/>
      <c r="G197" s="43"/>
      <c r="H197" s="2"/>
      <c r="I197" s="42"/>
      <c r="J197" s="43"/>
      <c r="K197" s="42"/>
      <c r="L197" s="45"/>
      <c r="M197" s="45"/>
      <c r="N197" s="43"/>
    </row>
    <row r="198" spans="2:14" ht="14.25" customHeight="1" x14ac:dyDescent="0.2">
      <c r="B198" s="40" t="s">
        <v>28</v>
      </c>
      <c r="C198" s="41"/>
      <c r="D198" s="40">
        <f>+K181+1</f>
        <v>23</v>
      </c>
      <c r="E198" s="44"/>
      <c r="F198" s="44"/>
      <c r="G198" s="41"/>
      <c r="H198" s="2"/>
      <c r="I198" s="40" t="s">
        <v>28</v>
      </c>
      <c r="J198" s="41"/>
      <c r="K198" s="40">
        <f>+D198+1</f>
        <v>24</v>
      </c>
      <c r="L198" s="44"/>
      <c r="M198" s="44"/>
      <c r="N198" s="41"/>
    </row>
    <row r="199" spans="2:14" ht="14.25" customHeight="1" x14ac:dyDescent="0.2">
      <c r="B199" s="42"/>
      <c r="C199" s="43"/>
      <c r="D199" s="42"/>
      <c r="E199" s="45"/>
      <c r="F199" s="45"/>
      <c r="G199" s="43"/>
      <c r="H199" s="2"/>
      <c r="I199" s="42"/>
      <c r="J199" s="43"/>
      <c r="K199" s="42"/>
      <c r="L199" s="45"/>
      <c r="M199" s="45"/>
      <c r="N199" s="43"/>
    </row>
    <row r="200" spans="2:14" ht="11.25" customHeight="1" x14ac:dyDescent="0.2">
      <c r="B200" s="40" t="s">
        <v>29</v>
      </c>
      <c r="C200" s="41"/>
      <c r="D200" s="49" t="str">
        <f>_xlfn.CONCAT("*",B203,"*")</f>
        <v>*DG-23-12/8*</v>
      </c>
      <c r="E200" s="50"/>
      <c r="F200" s="50"/>
      <c r="G200" s="51"/>
      <c r="H200" s="2"/>
      <c r="I200" s="40" t="s">
        <v>29</v>
      </c>
      <c r="J200" s="41"/>
      <c r="K200" s="49" t="str">
        <f>_xlfn.CONCAT("*",I203,"*")</f>
        <v>*DG-24-12/8*</v>
      </c>
      <c r="L200" s="50"/>
      <c r="M200" s="50"/>
      <c r="N200" s="51"/>
    </row>
    <row r="201" spans="2:14" ht="11.25" customHeight="1" x14ac:dyDescent="0.2">
      <c r="B201" s="42"/>
      <c r="C201" s="43"/>
      <c r="D201" s="52"/>
      <c r="E201" s="53"/>
      <c r="F201" s="53"/>
      <c r="G201" s="54"/>
      <c r="H201" s="2"/>
      <c r="I201" s="42"/>
      <c r="J201" s="43"/>
      <c r="K201" s="52"/>
      <c r="L201" s="53"/>
      <c r="M201" s="53"/>
      <c r="N201" s="54"/>
    </row>
    <row r="202" spans="2:14" ht="13.5" x14ac:dyDescent="0.2">
      <c r="B202" s="47" t="s">
        <v>30</v>
      </c>
      <c r="C202" s="47"/>
      <c r="D202" s="47"/>
      <c r="E202" s="47"/>
      <c r="F202" s="47"/>
      <c r="G202" s="47"/>
      <c r="H202" s="2"/>
      <c r="I202" s="47" t="s">
        <v>30</v>
      </c>
      <c r="J202" s="47"/>
      <c r="K202" s="47"/>
      <c r="L202" s="47"/>
      <c r="M202" s="47"/>
      <c r="N202" s="47"/>
    </row>
    <row r="203" spans="2:14" x14ac:dyDescent="0.2">
      <c r="B203" s="48" t="str">
        <f>_xlfn.CONCAT(D196,"-",D198,"-",D194)</f>
        <v>DG-23-12/8</v>
      </c>
      <c r="C203" s="48"/>
      <c r="D203" s="48"/>
      <c r="E203" s="48"/>
      <c r="F203" s="48"/>
      <c r="G203" s="48"/>
      <c r="H203" s="2"/>
      <c r="I203" s="48" t="str">
        <f>_xlfn.CONCAT(K196,"-",K198,"-",K194)</f>
        <v>DG-24-12/8</v>
      </c>
      <c r="J203" s="48"/>
      <c r="K203" s="48"/>
      <c r="L203" s="48"/>
      <c r="M203" s="48"/>
      <c r="N203" s="48"/>
    </row>
    <row r="204" spans="2:14" x14ac:dyDescent="0.2">
      <c r="B204" s="48"/>
      <c r="C204" s="48"/>
      <c r="D204" s="48"/>
      <c r="E204" s="48"/>
      <c r="F204" s="48"/>
      <c r="G204" s="48"/>
      <c r="H204" s="2"/>
      <c r="I204" s="48"/>
      <c r="J204" s="48"/>
      <c r="K204" s="48"/>
      <c r="L204" s="48"/>
      <c r="M204" s="48"/>
      <c r="N204" s="48"/>
    </row>
    <row r="205" spans="2:14" x14ac:dyDescent="0.2">
      <c r="B205" s="48"/>
      <c r="C205" s="48"/>
      <c r="D205" s="48"/>
      <c r="E205" s="48"/>
      <c r="F205" s="48"/>
      <c r="G205" s="48"/>
      <c r="H205" s="2"/>
      <c r="I205" s="48"/>
      <c r="J205" s="48"/>
      <c r="K205" s="48"/>
      <c r="L205" s="48"/>
      <c r="M205" s="48"/>
      <c r="N205" s="48"/>
    </row>
    <row r="206" spans="2:14" x14ac:dyDescent="0.2">
      <c r="B206" s="48"/>
      <c r="C206" s="48"/>
      <c r="D206" s="48"/>
      <c r="E206" s="48"/>
      <c r="F206" s="48"/>
      <c r="G206" s="48"/>
      <c r="H206" s="2"/>
      <c r="I206" s="48"/>
      <c r="J206" s="48"/>
      <c r="K206" s="48"/>
      <c r="L206" s="48"/>
      <c r="M206" s="48"/>
      <c r="N206" s="48"/>
    </row>
    <row r="207" spans="2:14" x14ac:dyDescent="0.2">
      <c r="B207" s="48"/>
      <c r="C207" s="48"/>
      <c r="D207" s="48"/>
      <c r="E207" s="48"/>
      <c r="F207" s="48"/>
      <c r="G207" s="48"/>
      <c r="H207" s="2"/>
      <c r="I207" s="48"/>
      <c r="J207" s="48"/>
      <c r="K207" s="48"/>
      <c r="L207" s="48"/>
      <c r="M207" s="48"/>
      <c r="N207" s="48"/>
    </row>
    <row r="208" spans="2:14" x14ac:dyDescent="0.2">
      <c r="B208" s="48"/>
      <c r="C208" s="48"/>
      <c r="D208" s="48"/>
      <c r="E208" s="48"/>
      <c r="F208" s="48"/>
      <c r="G208" s="48"/>
      <c r="H208" s="2"/>
      <c r="I208" s="48"/>
      <c r="J208" s="48"/>
      <c r="K208" s="48"/>
      <c r="L208" s="48"/>
      <c r="M208" s="48"/>
      <c r="N208" s="48"/>
    </row>
    <row r="209" spans="2:14" x14ac:dyDescent="0.2">
      <c r="B209" s="48"/>
      <c r="C209" s="48"/>
      <c r="D209" s="48"/>
      <c r="E209" s="48"/>
      <c r="F209" s="48"/>
      <c r="G209" s="48"/>
      <c r="H209" s="2"/>
      <c r="I209" s="48"/>
      <c r="J209" s="48"/>
      <c r="K209" s="48"/>
      <c r="L209" s="48"/>
      <c r="M209" s="48"/>
      <c r="N209" s="48"/>
    </row>
    <row r="211" spans="2:14" x14ac:dyDescent="0.2">
      <c r="B211" s="40" t="s">
        <v>69</v>
      </c>
      <c r="C211" s="41"/>
      <c r="D211" s="46" t="str">
        <f>K194</f>
        <v>12/8</v>
      </c>
      <c r="E211" s="44"/>
      <c r="F211" s="44"/>
      <c r="G211" s="41"/>
      <c r="H211" s="2"/>
      <c r="I211" s="40" t="s">
        <v>69</v>
      </c>
      <c r="J211" s="41"/>
      <c r="K211" s="46" t="str">
        <f>D211</f>
        <v>12/8</v>
      </c>
      <c r="L211" s="44"/>
      <c r="M211" s="44"/>
      <c r="N211" s="41"/>
    </row>
    <row r="212" spans="2:14" x14ac:dyDescent="0.2">
      <c r="B212" s="42"/>
      <c r="C212" s="43"/>
      <c r="D212" s="42"/>
      <c r="E212" s="45"/>
      <c r="F212" s="45"/>
      <c r="G212" s="43"/>
      <c r="H212" s="2"/>
      <c r="I212" s="42"/>
      <c r="J212" s="43"/>
      <c r="K212" s="42"/>
      <c r="L212" s="45"/>
      <c r="M212" s="45"/>
      <c r="N212" s="43"/>
    </row>
    <row r="213" spans="2:14" x14ac:dyDescent="0.2">
      <c r="B213" s="40" t="s">
        <v>25</v>
      </c>
      <c r="C213" s="41"/>
      <c r="D213" s="46" t="str">
        <f>K196</f>
        <v>DG</v>
      </c>
      <c r="E213" s="44"/>
      <c r="F213" s="44"/>
      <c r="G213" s="41"/>
      <c r="H213" s="2"/>
      <c r="I213" s="40" t="s">
        <v>25</v>
      </c>
      <c r="J213" s="41"/>
      <c r="K213" s="46" t="str">
        <f>D213</f>
        <v>DG</v>
      </c>
      <c r="L213" s="44"/>
      <c r="M213" s="44"/>
      <c r="N213" s="41"/>
    </row>
    <row r="214" spans="2:14" x14ac:dyDescent="0.2">
      <c r="B214" s="42"/>
      <c r="C214" s="43"/>
      <c r="D214" s="42"/>
      <c r="E214" s="45"/>
      <c r="F214" s="45"/>
      <c r="G214" s="43"/>
      <c r="H214" s="2"/>
      <c r="I214" s="42"/>
      <c r="J214" s="43"/>
      <c r="K214" s="42"/>
      <c r="L214" s="45"/>
      <c r="M214" s="45"/>
      <c r="N214" s="43"/>
    </row>
    <row r="215" spans="2:14" ht="14.25" customHeight="1" x14ac:dyDescent="0.2">
      <c r="B215" s="40" t="s">
        <v>28</v>
      </c>
      <c r="C215" s="41"/>
      <c r="D215" s="40">
        <f>+K198+1</f>
        <v>25</v>
      </c>
      <c r="E215" s="44"/>
      <c r="F215" s="44"/>
      <c r="G215" s="41"/>
      <c r="H215" s="2"/>
      <c r="I215" s="40" t="s">
        <v>28</v>
      </c>
      <c r="J215" s="41"/>
      <c r="K215" s="40">
        <f>+D215+1</f>
        <v>26</v>
      </c>
      <c r="L215" s="44"/>
      <c r="M215" s="44"/>
      <c r="N215" s="41"/>
    </row>
    <row r="216" spans="2:14" ht="14.25" customHeight="1" x14ac:dyDescent="0.2">
      <c r="B216" s="42"/>
      <c r="C216" s="43"/>
      <c r="D216" s="42"/>
      <c r="E216" s="45"/>
      <c r="F216" s="45"/>
      <c r="G216" s="43"/>
      <c r="H216" s="2"/>
      <c r="I216" s="42"/>
      <c r="J216" s="43"/>
      <c r="K216" s="42"/>
      <c r="L216" s="45"/>
      <c r="M216" s="45"/>
      <c r="N216" s="43"/>
    </row>
    <row r="217" spans="2:14" ht="11.25" customHeight="1" x14ac:dyDescent="0.2">
      <c r="B217" s="40" t="s">
        <v>29</v>
      </c>
      <c r="C217" s="41"/>
      <c r="D217" s="49" t="str">
        <f>_xlfn.CONCAT("*",B220,"*")</f>
        <v>*DG-25-12/8*</v>
      </c>
      <c r="E217" s="50"/>
      <c r="F217" s="50"/>
      <c r="G217" s="51"/>
      <c r="H217" s="2"/>
      <c r="I217" s="40" t="s">
        <v>29</v>
      </c>
      <c r="J217" s="41"/>
      <c r="K217" s="49" t="str">
        <f>_xlfn.CONCAT("*",I220,"*")</f>
        <v>*DG-26-12/8*</v>
      </c>
      <c r="L217" s="50"/>
      <c r="M217" s="50"/>
      <c r="N217" s="51"/>
    </row>
    <row r="218" spans="2:14" ht="11.25" customHeight="1" x14ac:dyDescent="0.2">
      <c r="B218" s="42"/>
      <c r="C218" s="43"/>
      <c r="D218" s="52"/>
      <c r="E218" s="53"/>
      <c r="F218" s="53"/>
      <c r="G218" s="54"/>
      <c r="H218" s="2"/>
      <c r="I218" s="42"/>
      <c r="J218" s="43"/>
      <c r="K218" s="52"/>
      <c r="L218" s="53"/>
      <c r="M218" s="53"/>
      <c r="N218" s="54"/>
    </row>
    <row r="219" spans="2:14" ht="13.5" x14ac:dyDescent="0.2">
      <c r="B219" s="47" t="s">
        <v>30</v>
      </c>
      <c r="C219" s="47"/>
      <c r="D219" s="47"/>
      <c r="E219" s="47"/>
      <c r="F219" s="47"/>
      <c r="G219" s="47"/>
      <c r="H219" s="2"/>
      <c r="I219" s="47" t="s">
        <v>30</v>
      </c>
      <c r="J219" s="47"/>
      <c r="K219" s="47"/>
      <c r="L219" s="47"/>
      <c r="M219" s="47"/>
      <c r="N219" s="47"/>
    </row>
    <row r="220" spans="2:14" x14ac:dyDescent="0.2">
      <c r="B220" s="48" t="str">
        <f>_xlfn.CONCAT(D213,"-",D215,"-",D211)</f>
        <v>DG-25-12/8</v>
      </c>
      <c r="C220" s="48"/>
      <c r="D220" s="48"/>
      <c r="E220" s="48"/>
      <c r="F220" s="48"/>
      <c r="G220" s="48"/>
      <c r="H220" s="2"/>
      <c r="I220" s="48" t="str">
        <f>_xlfn.CONCAT(K213,"-",K215,"-",K211)</f>
        <v>DG-26-12/8</v>
      </c>
      <c r="J220" s="48"/>
      <c r="K220" s="48"/>
      <c r="L220" s="48"/>
      <c r="M220" s="48"/>
      <c r="N220" s="48"/>
    </row>
    <row r="221" spans="2:14" x14ac:dyDescent="0.2">
      <c r="B221" s="48"/>
      <c r="C221" s="48"/>
      <c r="D221" s="48"/>
      <c r="E221" s="48"/>
      <c r="F221" s="48"/>
      <c r="G221" s="48"/>
      <c r="H221" s="2"/>
      <c r="I221" s="48"/>
      <c r="J221" s="48"/>
      <c r="K221" s="48"/>
      <c r="L221" s="48"/>
      <c r="M221" s="48"/>
      <c r="N221" s="48"/>
    </row>
    <row r="222" spans="2:14" x14ac:dyDescent="0.2">
      <c r="B222" s="48"/>
      <c r="C222" s="48"/>
      <c r="D222" s="48"/>
      <c r="E222" s="48"/>
      <c r="F222" s="48"/>
      <c r="G222" s="48"/>
      <c r="H222" s="2"/>
      <c r="I222" s="48"/>
      <c r="J222" s="48"/>
      <c r="K222" s="48"/>
      <c r="L222" s="48"/>
      <c r="M222" s="48"/>
      <c r="N222" s="48"/>
    </row>
    <row r="223" spans="2:14" x14ac:dyDescent="0.2">
      <c r="B223" s="48"/>
      <c r="C223" s="48"/>
      <c r="D223" s="48"/>
      <c r="E223" s="48"/>
      <c r="F223" s="48"/>
      <c r="G223" s="48"/>
      <c r="H223" s="2"/>
      <c r="I223" s="48"/>
      <c r="J223" s="48"/>
      <c r="K223" s="48"/>
      <c r="L223" s="48"/>
      <c r="M223" s="48"/>
      <c r="N223" s="48"/>
    </row>
    <row r="224" spans="2:14" x14ac:dyDescent="0.2">
      <c r="B224" s="48"/>
      <c r="C224" s="48"/>
      <c r="D224" s="48"/>
      <c r="E224" s="48"/>
      <c r="F224" s="48"/>
      <c r="G224" s="48"/>
      <c r="H224" s="2"/>
      <c r="I224" s="48"/>
      <c r="J224" s="48"/>
      <c r="K224" s="48"/>
      <c r="L224" s="48"/>
      <c r="M224" s="48"/>
      <c r="N224" s="48"/>
    </row>
    <row r="225" spans="2:14" x14ac:dyDescent="0.2">
      <c r="B225" s="48"/>
      <c r="C225" s="48"/>
      <c r="D225" s="48"/>
      <c r="E225" s="48"/>
      <c r="F225" s="48"/>
      <c r="G225" s="48"/>
      <c r="H225" s="2"/>
      <c r="I225" s="48"/>
      <c r="J225" s="48"/>
      <c r="K225" s="48"/>
      <c r="L225" s="48"/>
      <c r="M225" s="48"/>
      <c r="N225" s="48"/>
    </row>
    <row r="226" spans="2:14" x14ac:dyDescent="0.2">
      <c r="B226" s="48"/>
      <c r="C226" s="48"/>
      <c r="D226" s="48"/>
      <c r="E226" s="48"/>
      <c r="F226" s="48"/>
      <c r="G226" s="48"/>
      <c r="H226" s="2"/>
      <c r="I226" s="48"/>
      <c r="J226" s="48"/>
      <c r="K226" s="48"/>
      <c r="L226" s="48"/>
      <c r="M226" s="48"/>
      <c r="N226" s="48"/>
    </row>
    <row r="228" spans="2:14" x14ac:dyDescent="0.2">
      <c r="B228" s="40" t="s">
        <v>69</v>
      </c>
      <c r="C228" s="41"/>
      <c r="D228" s="46" t="str">
        <f>K211</f>
        <v>12/8</v>
      </c>
      <c r="E228" s="44"/>
      <c r="F228" s="44"/>
      <c r="G228" s="41"/>
      <c r="H228" s="2"/>
      <c r="I228" s="40" t="s">
        <v>69</v>
      </c>
      <c r="J228" s="41"/>
      <c r="K228" s="46" t="str">
        <f>D228</f>
        <v>12/8</v>
      </c>
      <c r="L228" s="44"/>
      <c r="M228" s="44"/>
      <c r="N228" s="41"/>
    </row>
    <row r="229" spans="2:14" x14ac:dyDescent="0.2">
      <c r="B229" s="42"/>
      <c r="C229" s="43"/>
      <c r="D229" s="42"/>
      <c r="E229" s="45"/>
      <c r="F229" s="45"/>
      <c r="G229" s="43"/>
      <c r="H229" s="2"/>
      <c r="I229" s="42"/>
      <c r="J229" s="43"/>
      <c r="K229" s="42"/>
      <c r="L229" s="45"/>
      <c r="M229" s="45"/>
      <c r="N229" s="43"/>
    </row>
    <row r="230" spans="2:14" x14ac:dyDescent="0.2">
      <c r="B230" s="40" t="s">
        <v>25</v>
      </c>
      <c r="C230" s="41"/>
      <c r="D230" s="46" t="str">
        <f>K213</f>
        <v>DG</v>
      </c>
      <c r="E230" s="44"/>
      <c r="F230" s="44"/>
      <c r="G230" s="41"/>
      <c r="H230" s="2"/>
      <c r="I230" s="40" t="s">
        <v>25</v>
      </c>
      <c r="J230" s="41"/>
      <c r="K230" s="46" t="str">
        <f>D230</f>
        <v>DG</v>
      </c>
      <c r="L230" s="44"/>
      <c r="M230" s="44"/>
      <c r="N230" s="41"/>
    </row>
    <row r="231" spans="2:14" x14ac:dyDescent="0.2">
      <c r="B231" s="42"/>
      <c r="C231" s="43"/>
      <c r="D231" s="42"/>
      <c r="E231" s="45"/>
      <c r="F231" s="45"/>
      <c r="G231" s="43"/>
      <c r="H231" s="2"/>
      <c r="I231" s="42"/>
      <c r="J231" s="43"/>
      <c r="K231" s="42"/>
      <c r="L231" s="45"/>
      <c r="M231" s="45"/>
      <c r="N231" s="43"/>
    </row>
    <row r="232" spans="2:14" ht="14.25" customHeight="1" x14ac:dyDescent="0.2">
      <c r="B232" s="40" t="s">
        <v>28</v>
      </c>
      <c r="C232" s="41"/>
      <c r="D232" s="40">
        <f>+K215+1</f>
        <v>27</v>
      </c>
      <c r="E232" s="44"/>
      <c r="F232" s="44"/>
      <c r="G232" s="41"/>
      <c r="H232" s="2"/>
      <c r="I232" s="40" t="s">
        <v>28</v>
      </c>
      <c r="J232" s="41"/>
      <c r="K232" s="40">
        <f>+D232+1</f>
        <v>28</v>
      </c>
      <c r="L232" s="44"/>
      <c r="M232" s="44"/>
      <c r="N232" s="41"/>
    </row>
    <row r="233" spans="2:14" ht="14.25" customHeight="1" x14ac:dyDescent="0.2">
      <c r="B233" s="42"/>
      <c r="C233" s="43"/>
      <c r="D233" s="42"/>
      <c r="E233" s="45"/>
      <c r="F233" s="45"/>
      <c r="G233" s="43"/>
      <c r="H233" s="2"/>
      <c r="I233" s="42"/>
      <c r="J233" s="43"/>
      <c r="K233" s="42"/>
      <c r="L233" s="45"/>
      <c r="M233" s="45"/>
      <c r="N233" s="43"/>
    </row>
    <row r="234" spans="2:14" ht="11.25" customHeight="1" x14ac:dyDescent="0.2">
      <c r="B234" s="40" t="s">
        <v>29</v>
      </c>
      <c r="C234" s="41"/>
      <c r="D234" s="49" t="str">
        <f>_xlfn.CONCAT("*",B237,"*")</f>
        <v>*DG-27-12/8*</v>
      </c>
      <c r="E234" s="50"/>
      <c r="F234" s="50"/>
      <c r="G234" s="51"/>
      <c r="H234" s="2"/>
      <c r="I234" s="40" t="s">
        <v>29</v>
      </c>
      <c r="J234" s="41"/>
      <c r="K234" s="49" t="str">
        <f>_xlfn.CONCAT("*",I237,"*")</f>
        <v>*DG-28-12/8*</v>
      </c>
      <c r="L234" s="50"/>
      <c r="M234" s="50"/>
      <c r="N234" s="51"/>
    </row>
    <row r="235" spans="2:14" ht="11.25" customHeight="1" x14ac:dyDescent="0.2">
      <c r="B235" s="42"/>
      <c r="C235" s="43"/>
      <c r="D235" s="52"/>
      <c r="E235" s="53"/>
      <c r="F235" s="53"/>
      <c r="G235" s="54"/>
      <c r="H235" s="2"/>
      <c r="I235" s="42"/>
      <c r="J235" s="43"/>
      <c r="K235" s="52"/>
      <c r="L235" s="53"/>
      <c r="M235" s="53"/>
      <c r="N235" s="54"/>
    </row>
    <row r="236" spans="2:14" ht="13.5" x14ac:dyDescent="0.2">
      <c r="B236" s="47" t="s">
        <v>30</v>
      </c>
      <c r="C236" s="47"/>
      <c r="D236" s="47"/>
      <c r="E236" s="47"/>
      <c r="F236" s="47"/>
      <c r="G236" s="47"/>
      <c r="H236" s="2"/>
      <c r="I236" s="47" t="s">
        <v>30</v>
      </c>
      <c r="J236" s="47"/>
      <c r="K236" s="47"/>
      <c r="L236" s="47"/>
      <c r="M236" s="47"/>
      <c r="N236" s="47"/>
    </row>
    <row r="237" spans="2:14" x14ac:dyDescent="0.2">
      <c r="B237" s="48" t="str">
        <f>_xlfn.CONCAT(D230,"-",D232,"-",D228)</f>
        <v>DG-27-12/8</v>
      </c>
      <c r="C237" s="48"/>
      <c r="D237" s="48"/>
      <c r="E237" s="48"/>
      <c r="F237" s="48"/>
      <c r="G237" s="48"/>
      <c r="H237" s="2"/>
      <c r="I237" s="48" t="str">
        <f>_xlfn.CONCAT(K230,"-",K232,"-",K228)</f>
        <v>DG-28-12/8</v>
      </c>
      <c r="J237" s="48"/>
      <c r="K237" s="48"/>
      <c r="L237" s="48"/>
      <c r="M237" s="48"/>
      <c r="N237" s="48"/>
    </row>
    <row r="238" spans="2:14" x14ac:dyDescent="0.2">
      <c r="B238" s="48"/>
      <c r="C238" s="48"/>
      <c r="D238" s="48"/>
      <c r="E238" s="48"/>
      <c r="F238" s="48"/>
      <c r="G238" s="48"/>
      <c r="H238" s="2"/>
      <c r="I238" s="48"/>
      <c r="J238" s="48"/>
      <c r="K238" s="48"/>
      <c r="L238" s="48"/>
      <c r="M238" s="48"/>
      <c r="N238" s="48"/>
    </row>
    <row r="239" spans="2:14" x14ac:dyDescent="0.2">
      <c r="B239" s="48"/>
      <c r="C239" s="48"/>
      <c r="D239" s="48"/>
      <c r="E239" s="48"/>
      <c r="F239" s="48"/>
      <c r="G239" s="48"/>
      <c r="H239" s="2"/>
      <c r="I239" s="48"/>
      <c r="J239" s="48"/>
      <c r="K239" s="48"/>
      <c r="L239" s="48"/>
      <c r="M239" s="48"/>
      <c r="N239" s="48"/>
    </row>
    <row r="240" spans="2:14" x14ac:dyDescent="0.2">
      <c r="B240" s="48"/>
      <c r="C240" s="48"/>
      <c r="D240" s="48"/>
      <c r="E240" s="48"/>
      <c r="F240" s="48"/>
      <c r="G240" s="48"/>
      <c r="H240" s="2"/>
      <c r="I240" s="48"/>
      <c r="J240" s="48"/>
      <c r="K240" s="48"/>
      <c r="L240" s="48"/>
      <c r="M240" s="48"/>
      <c r="N240" s="48"/>
    </row>
    <row r="241" spans="2:14" x14ac:dyDescent="0.2">
      <c r="B241" s="48"/>
      <c r="C241" s="48"/>
      <c r="D241" s="48"/>
      <c r="E241" s="48"/>
      <c r="F241" s="48"/>
      <c r="G241" s="48"/>
      <c r="H241" s="2"/>
      <c r="I241" s="48"/>
      <c r="J241" s="48"/>
      <c r="K241" s="48"/>
      <c r="L241" s="48"/>
      <c r="M241" s="48"/>
      <c r="N241" s="48"/>
    </row>
    <row r="242" spans="2:14" x14ac:dyDescent="0.2">
      <c r="B242" s="48"/>
      <c r="C242" s="48"/>
      <c r="D242" s="48"/>
      <c r="E242" s="48"/>
      <c r="F242" s="48"/>
      <c r="G242" s="48"/>
      <c r="H242" s="2"/>
      <c r="I242" s="48"/>
      <c r="J242" s="48"/>
      <c r="K242" s="48"/>
      <c r="L242" s="48"/>
      <c r="M242" s="48"/>
      <c r="N242" s="48"/>
    </row>
    <row r="243" spans="2:14" x14ac:dyDescent="0.2">
      <c r="B243" s="48"/>
      <c r="C243" s="48"/>
      <c r="D243" s="48"/>
      <c r="E243" s="48"/>
      <c r="F243" s="48"/>
      <c r="G243" s="48"/>
      <c r="H243" s="2"/>
      <c r="I243" s="48"/>
      <c r="J243" s="48"/>
      <c r="K243" s="48"/>
      <c r="L243" s="48"/>
      <c r="M243" s="48"/>
      <c r="N243" s="48"/>
    </row>
    <row r="245" spans="2:14" x14ac:dyDescent="0.2">
      <c r="B245" s="40" t="s">
        <v>69</v>
      </c>
      <c r="C245" s="41"/>
      <c r="D245" s="46" t="str">
        <f>K228</f>
        <v>12/8</v>
      </c>
      <c r="E245" s="44"/>
      <c r="F245" s="44"/>
      <c r="G245" s="41"/>
      <c r="H245" s="2"/>
      <c r="I245" s="40" t="s">
        <v>69</v>
      </c>
      <c r="J245" s="41"/>
      <c r="K245" s="46" t="str">
        <f>D245</f>
        <v>12/8</v>
      </c>
      <c r="L245" s="44"/>
      <c r="M245" s="44"/>
      <c r="N245" s="41"/>
    </row>
    <row r="246" spans="2:14" x14ac:dyDescent="0.2">
      <c r="B246" s="42"/>
      <c r="C246" s="43"/>
      <c r="D246" s="42"/>
      <c r="E246" s="45"/>
      <c r="F246" s="45"/>
      <c r="G246" s="43"/>
      <c r="H246" s="2"/>
      <c r="I246" s="42"/>
      <c r="J246" s="43"/>
      <c r="K246" s="42"/>
      <c r="L246" s="45"/>
      <c r="M246" s="45"/>
      <c r="N246" s="43"/>
    </row>
    <row r="247" spans="2:14" x14ac:dyDescent="0.2">
      <c r="B247" s="40" t="s">
        <v>25</v>
      </c>
      <c r="C247" s="41"/>
      <c r="D247" s="46" t="str">
        <f>K230</f>
        <v>DG</v>
      </c>
      <c r="E247" s="44"/>
      <c r="F247" s="44"/>
      <c r="G247" s="41"/>
      <c r="H247" s="2"/>
      <c r="I247" s="40" t="s">
        <v>25</v>
      </c>
      <c r="J247" s="41"/>
      <c r="K247" s="46" t="str">
        <f>D247</f>
        <v>DG</v>
      </c>
      <c r="L247" s="44"/>
      <c r="M247" s="44"/>
      <c r="N247" s="41"/>
    </row>
    <row r="248" spans="2:14" x14ac:dyDescent="0.2">
      <c r="B248" s="42"/>
      <c r="C248" s="43"/>
      <c r="D248" s="42"/>
      <c r="E248" s="45"/>
      <c r="F248" s="45"/>
      <c r="G248" s="43"/>
      <c r="H248" s="2"/>
      <c r="I248" s="42"/>
      <c r="J248" s="43"/>
      <c r="K248" s="42"/>
      <c r="L248" s="45"/>
      <c r="M248" s="45"/>
      <c r="N248" s="43"/>
    </row>
    <row r="249" spans="2:14" ht="14.25" customHeight="1" x14ac:dyDescent="0.2">
      <c r="B249" s="40" t="s">
        <v>28</v>
      </c>
      <c r="C249" s="41"/>
      <c r="D249" s="40">
        <f>+K232+1</f>
        <v>29</v>
      </c>
      <c r="E249" s="44"/>
      <c r="F249" s="44"/>
      <c r="G249" s="41"/>
      <c r="H249" s="2"/>
      <c r="I249" s="40" t="s">
        <v>28</v>
      </c>
      <c r="J249" s="41"/>
      <c r="K249" s="40">
        <f>+D249+1</f>
        <v>30</v>
      </c>
      <c r="L249" s="44"/>
      <c r="M249" s="44"/>
      <c r="N249" s="41"/>
    </row>
    <row r="250" spans="2:14" ht="14.25" customHeight="1" x14ac:dyDescent="0.2">
      <c r="B250" s="42"/>
      <c r="C250" s="43"/>
      <c r="D250" s="42"/>
      <c r="E250" s="45"/>
      <c r="F250" s="45"/>
      <c r="G250" s="43"/>
      <c r="H250" s="2"/>
      <c r="I250" s="42"/>
      <c r="J250" s="43"/>
      <c r="K250" s="42"/>
      <c r="L250" s="45"/>
      <c r="M250" s="45"/>
      <c r="N250" s="43"/>
    </row>
    <row r="251" spans="2:14" ht="11.25" customHeight="1" x14ac:dyDescent="0.2">
      <c r="B251" s="40" t="s">
        <v>29</v>
      </c>
      <c r="C251" s="41"/>
      <c r="D251" s="49" t="str">
        <f>_xlfn.CONCAT("*",B254,"*")</f>
        <v>*DG-29-12/8*</v>
      </c>
      <c r="E251" s="50"/>
      <c r="F251" s="50"/>
      <c r="G251" s="51"/>
      <c r="H251" s="2"/>
      <c r="I251" s="40" t="s">
        <v>29</v>
      </c>
      <c r="J251" s="41"/>
      <c r="K251" s="49" t="str">
        <f>_xlfn.CONCAT("*",I254,"*")</f>
        <v>*DG-30-12/8*</v>
      </c>
      <c r="L251" s="50"/>
      <c r="M251" s="50"/>
      <c r="N251" s="51"/>
    </row>
    <row r="252" spans="2:14" ht="11.25" customHeight="1" x14ac:dyDescent="0.2">
      <c r="B252" s="42"/>
      <c r="C252" s="43"/>
      <c r="D252" s="52"/>
      <c r="E252" s="53"/>
      <c r="F252" s="53"/>
      <c r="G252" s="54"/>
      <c r="H252" s="2"/>
      <c r="I252" s="42"/>
      <c r="J252" s="43"/>
      <c r="K252" s="52"/>
      <c r="L252" s="53"/>
      <c r="M252" s="53"/>
      <c r="N252" s="54"/>
    </row>
    <row r="253" spans="2:14" ht="13.5" x14ac:dyDescent="0.2">
      <c r="B253" s="47" t="s">
        <v>30</v>
      </c>
      <c r="C253" s="47"/>
      <c r="D253" s="47"/>
      <c r="E253" s="47"/>
      <c r="F253" s="47"/>
      <c r="G253" s="47"/>
      <c r="H253" s="2"/>
      <c r="I253" s="47" t="s">
        <v>30</v>
      </c>
      <c r="J253" s="47"/>
      <c r="K253" s="47"/>
      <c r="L253" s="47"/>
      <c r="M253" s="47"/>
      <c r="N253" s="47"/>
    </row>
    <row r="254" spans="2:14" x14ac:dyDescent="0.2">
      <c r="B254" s="48" t="str">
        <f>_xlfn.CONCAT(D247,"-",D249,"-",D245)</f>
        <v>DG-29-12/8</v>
      </c>
      <c r="C254" s="48"/>
      <c r="D254" s="48"/>
      <c r="E254" s="48"/>
      <c r="F254" s="48"/>
      <c r="G254" s="48"/>
      <c r="H254" s="2"/>
      <c r="I254" s="48" t="str">
        <f>_xlfn.CONCAT(K247,"-",K249,"-",K245)</f>
        <v>DG-30-12/8</v>
      </c>
      <c r="J254" s="48"/>
      <c r="K254" s="48"/>
      <c r="L254" s="48"/>
      <c r="M254" s="48"/>
      <c r="N254" s="48"/>
    </row>
    <row r="255" spans="2:14" x14ac:dyDescent="0.2">
      <c r="B255" s="48"/>
      <c r="C255" s="48"/>
      <c r="D255" s="48"/>
      <c r="E255" s="48"/>
      <c r="F255" s="48"/>
      <c r="G255" s="48"/>
      <c r="H255" s="2"/>
      <c r="I255" s="48"/>
      <c r="J255" s="48"/>
      <c r="K255" s="48"/>
      <c r="L255" s="48"/>
      <c r="M255" s="48"/>
      <c r="N255" s="48"/>
    </row>
    <row r="256" spans="2:14" x14ac:dyDescent="0.2">
      <c r="B256" s="48"/>
      <c r="C256" s="48"/>
      <c r="D256" s="48"/>
      <c r="E256" s="48"/>
      <c r="F256" s="48"/>
      <c r="G256" s="48"/>
      <c r="H256" s="2"/>
      <c r="I256" s="48"/>
      <c r="J256" s="48"/>
      <c r="K256" s="48"/>
      <c r="L256" s="48"/>
      <c r="M256" s="48"/>
      <c r="N256" s="48"/>
    </row>
    <row r="257" spans="2:14" x14ac:dyDescent="0.2">
      <c r="B257" s="48"/>
      <c r="C257" s="48"/>
      <c r="D257" s="48"/>
      <c r="E257" s="48"/>
      <c r="F257" s="48"/>
      <c r="G257" s="48"/>
      <c r="H257" s="2"/>
      <c r="I257" s="48"/>
      <c r="J257" s="48"/>
      <c r="K257" s="48"/>
      <c r="L257" s="48"/>
      <c r="M257" s="48"/>
      <c r="N257" s="48"/>
    </row>
    <row r="258" spans="2:14" x14ac:dyDescent="0.2">
      <c r="B258" s="48"/>
      <c r="C258" s="48"/>
      <c r="D258" s="48"/>
      <c r="E258" s="48"/>
      <c r="F258" s="48"/>
      <c r="G258" s="48"/>
      <c r="H258" s="2"/>
      <c r="I258" s="48"/>
      <c r="J258" s="48"/>
      <c r="K258" s="48"/>
      <c r="L258" s="48"/>
      <c r="M258" s="48"/>
      <c r="N258" s="48"/>
    </row>
    <row r="259" spans="2:14" x14ac:dyDescent="0.2">
      <c r="B259" s="48"/>
      <c r="C259" s="48"/>
      <c r="D259" s="48"/>
      <c r="E259" s="48"/>
      <c r="F259" s="48"/>
      <c r="G259" s="48"/>
      <c r="H259" s="2"/>
      <c r="I259" s="48"/>
      <c r="J259" s="48"/>
      <c r="K259" s="48"/>
      <c r="L259" s="48"/>
      <c r="M259" s="48"/>
      <c r="N259" s="48"/>
    </row>
    <row r="260" spans="2:14" x14ac:dyDescent="0.2">
      <c r="B260" s="48"/>
      <c r="C260" s="48"/>
      <c r="D260" s="48"/>
      <c r="E260" s="48"/>
      <c r="F260" s="48"/>
      <c r="G260" s="48"/>
      <c r="H260" s="2"/>
      <c r="I260" s="48"/>
      <c r="J260" s="48"/>
      <c r="K260" s="48"/>
      <c r="L260" s="48"/>
      <c r="M260" s="48"/>
      <c r="N260" s="48"/>
    </row>
    <row r="262" spans="2:14" x14ac:dyDescent="0.2">
      <c r="B262" s="40" t="s">
        <v>69</v>
      </c>
      <c r="C262" s="41"/>
      <c r="D262" s="46" t="str">
        <f>K245</f>
        <v>12/8</v>
      </c>
      <c r="E262" s="44"/>
      <c r="F262" s="44"/>
      <c r="G262" s="41"/>
      <c r="H262" s="2"/>
      <c r="I262" s="40" t="s">
        <v>69</v>
      </c>
      <c r="J262" s="41"/>
      <c r="K262" s="46" t="str">
        <f>D262</f>
        <v>12/8</v>
      </c>
      <c r="L262" s="44"/>
      <c r="M262" s="44"/>
      <c r="N262" s="41"/>
    </row>
    <row r="263" spans="2:14" x14ac:dyDescent="0.2">
      <c r="B263" s="42"/>
      <c r="C263" s="43"/>
      <c r="D263" s="42"/>
      <c r="E263" s="45"/>
      <c r="F263" s="45"/>
      <c r="G263" s="43"/>
      <c r="H263" s="2"/>
      <c r="I263" s="42"/>
      <c r="J263" s="43"/>
      <c r="K263" s="42"/>
      <c r="L263" s="45"/>
      <c r="M263" s="45"/>
      <c r="N263" s="43"/>
    </row>
    <row r="264" spans="2:14" x14ac:dyDescent="0.2">
      <c r="B264" s="40" t="s">
        <v>25</v>
      </c>
      <c r="C264" s="41"/>
      <c r="D264" s="46" t="str">
        <f>K247</f>
        <v>DG</v>
      </c>
      <c r="E264" s="44"/>
      <c r="F264" s="44"/>
      <c r="G264" s="41"/>
      <c r="H264" s="2"/>
      <c r="I264" s="40" t="s">
        <v>25</v>
      </c>
      <c r="J264" s="41"/>
      <c r="K264" s="46" t="str">
        <f>D264</f>
        <v>DG</v>
      </c>
      <c r="L264" s="44"/>
      <c r="M264" s="44"/>
      <c r="N264" s="41"/>
    </row>
    <row r="265" spans="2:14" x14ac:dyDescent="0.2">
      <c r="B265" s="42"/>
      <c r="C265" s="43"/>
      <c r="D265" s="42"/>
      <c r="E265" s="45"/>
      <c r="F265" s="45"/>
      <c r="G265" s="43"/>
      <c r="H265" s="2"/>
      <c r="I265" s="42"/>
      <c r="J265" s="43"/>
      <c r="K265" s="42"/>
      <c r="L265" s="45"/>
      <c r="M265" s="45"/>
      <c r="N265" s="43"/>
    </row>
    <row r="266" spans="2:14" ht="14.25" customHeight="1" x14ac:dyDescent="0.2">
      <c r="B266" s="40" t="s">
        <v>28</v>
      </c>
      <c r="C266" s="41"/>
      <c r="D266" s="40">
        <f>+K249+1</f>
        <v>31</v>
      </c>
      <c r="E266" s="44"/>
      <c r="F266" s="44"/>
      <c r="G266" s="41"/>
      <c r="H266" s="2"/>
      <c r="I266" s="40" t="s">
        <v>28</v>
      </c>
      <c r="J266" s="41"/>
      <c r="K266" s="40">
        <f>+D266+1</f>
        <v>32</v>
      </c>
      <c r="L266" s="44"/>
      <c r="M266" s="44"/>
      <c r="N266" s="41"/>
    </row>
    <row r="267" spans="2:14" ht="14.25" customHeight="1" x14ac:dyDescent="0.2">
      <c r="B267" s="42"/>
      <c r="C267" s="43"/>
      <c r="D267" s="42"/>
      <c r="E267" s="45"/>
      <c r="F267" s="45"/>
      <c r="G267" s="43"/>
      <c r="H267" s="2"/>
      <c r="I267" s="42"/>
      <c r="J267" s="43"/>
      <c r="K267" s="42"/>
      <c r="L267" s="45"/>
      <c r="M267" s="45"/>
      <c r="N267" s="43"/>
    </row>
    <row r="268" spans="2:14" ht="11.25" customHeight="1" x14ac:dyDescent="0.2">
      <c r="B268" s="40" t="s">
        <v>29</v>
      </c>
      <c r="C268" s="41"/>
      <c r="D268" s="49" t="str">
        <f>_xlfn.CONCAT("*",B271,"*")</f>
        <v>*DG-31-12/8*</v>
      </c>
      <c r="E268" s="50"/>
      <c r="F268" s="50"/>
      <c r="G268" s="51"/>
      <c r="H268" s="2"/>
      <c r="I268" s="40" t="s">
        <v>29</v>
      </c>
      <c r="J268" s="41"/>
      <c r="K268" s="49" t="str">
        <f>_xlfn.CONCAT("*",I271,"*")</f>
        <v>*DG-32-12/8*</v>
      </c>
      <c r="L268" s="50"/>
      <c r="M268" s="50"/>
      <c r="N268" s="51"/>
    </row>
    <row r="269" spans="2:14" ht="11.25" customHeight="1" x14ac:dyDescent="0.2">
      <c r="B269" s="42"/>
      <c r="C269" s="43"/>
      <c r="D269" s="52"/>
      <c r="E269" s="53"/>
      <c r="F269" s="53"/>
      <c r="G269" s="54"/>
      <c r="H269" s="2"/>
      <c r="I269" s="42"/>
      <c r="J269" s="43"/>
      <c r="K269" s="52"/>
      <c r="L269" s="53"/>
      <c r="M269" s="53"/>
      <c r="N269" s="54"/>
    </row>
    <row r="270" spans="2:14" ht="13.5" x14ac:dyDescent="0.2">
      <c r="B270" s="47" t="s">
        <v>30</v>
      </c>
      <c r="C270" s="47"/>
      <c r="D270" s="47"/>
      <c r="E270" s="47"/>
      <c r="F270" s="47"/>
      <c r="G270" s="47"/>
      <c r="H270" s="2"/>
      <c r="I270" s="47" t="s">
        <v>30</v>
      </c>
      <c r="J270" s="47"/>
      <c r="K270" s="47"/>
      <c r="L270" s="47"/>
      <c r="M270" s="47"/>
      <c r="N270" s="47"/>
    </row>
    <row r="271" spans="2:14" x14ac:dyDescent="0.2">
      <c r="B271" s="48" t="str">
        <f>_xlfn.CONCAT(D264,"-",D266,"-",D262)</f>
        <v>DG-31-12/8</v>
      </c>
      <c r="C271" s="48"/>
      <c r="D271" s="48"/>
      <c r="E271" s="48"/>
      <c r="F271" s="48"/>
      <c r="G271" s="48"/>
      <c r="H271" s="2"/>
      <c r="I271" s="48" t="str">
        <f>_xlfn.CONCAT(K264,"-",K266,"-",K262)</f>
        <v>DG-32-12/8</v>
      </c>
      <c r="J271" s="48"/>
      <c r="K271" s="48"/>
      <c r="L271" s="48"/>
      <c r="M271" s="48"/>
      <c r="N271" s="48"/>
    </row>
    <row r="272" spans="2:14" x14ac:dyDescent="0.2">
      <c r="B272" s="48"/>
      <c r="C272" s="48"/>
      <c r="D272" s="48"/>
      <c r="E272" s="48"/>
      <c r="F272" s="48"/>
      <c r="G272" s="48"/>
      <c r="H272" s="2"/>
      <c r="I272" s="48"/>
      <c r="J272" s="48"/>
      <c r="K272" s="48"/>
      <c r="L272" s="48"/>
      <c r="M272" s="48"/>
      <c r="N272" s="48"/>
    </row>
    <row r="273" spans="2:14" x14ac:dyDescent="0.2">
      <c r="B273" s="48"/>
      <c r="C273" s="48"/>
      <c r="D273" s="48"/>
      <c r="E273" s="48"/>
      <c r="F273" s="48"/>
      <c r="G273" s="48"/>
      <c r="H273" s="2"/>
      <c r="I273" s="48"/>
      <c r="J273" s="48"/>
      <c r="K273" s="48"/>
      <c r="L273" s="48"/>
      <c r="M273" s="48"/>
      <c r="N273" s="48"/>
    </row>
    <row r="274" spans="2:14" x14ac:dyDescent="0.2">
      <c r="B274" s="48"/>
      <c r="C274" s="48"/>
      <c r="D274" s="48"/>
      <c r="E274" s="48"/>
      <c r="F274" s="48"/>
      <c r="G274" s="48"/>
      <c r="H274" s="2"/>
      <c r="I274" s="48"/>
      <c r="J274" s="48"/>
      <c r="K274" s="48"/>
      <c r="L274" s="48"/>
      <c r="M274" s="48"/>
      <c r="N274" s="48"/>
    </row>
    <row r="275" spans="2:14" x14ac:dyDescent="0.2">
      <c r="B275" s="48"/>
      <c r="C275" s="48"/>
      <c r="D275" s="48"/>
      <c r="E275" s="48"/>
      <c r="F275" s="48"/>
      <c r="G275" s="48"/>
      <c r="H275" s="2"/>
      <c r="I275" s="48"/>
      <c r="J275" s="48"/>
      <c r="K275" s="48"/>
      <c r="L275" s="48"/>
      <c r="M275" s="48"/>
      <c r="N275" s="48"/>
    </row>
    <row r="276" spans="2:14" x14ac:dyDescent="0.2">
      <c r="B276" s="48"/>
      <c r="C276" s="48"/>
      <c r="D276" s="48"/>
      <c r="E276" s="48"/>
      <c r="F276" s="48"/>
      <c r="G276" s="48"/>
      <c r="H276" s="2"/>
      <c r="I276" s="48"/>
      <c r="J276" s="48"/>
      <c r="K276" s="48"/>
      <c r="L276" s="48"/>
      <c r="M276" s="48"/>
      <c r="N276" s="48"/>
    </row>
    <row r="277" spans="2:14" x14ac:dyDescent="0.2">
      <c r="B277" s="48"/>
      <c r="C277" s="48"/>
      <c r="D277" s="48"/>
      <c r="E277" s="48"/>
      <c r="F277" s="48"/>
      <c r="G277" s="48"/>
      <c r="H277" s="2"/>
      <c r="I277" s="48"/>
      <c r="J277" s="48"/>
      <c r="K277" s="48"/>
      <c r="L277" s="48"/>
      <c r="M277" s="48"/>
      <c r="N277" s="48"/>
    </row>
    <row r="279" spans="2:14" x14ac:dyDescent="0.2">
      <c r="B279" s="40" t="s">
        <v>69</v>
      </c>
      <c r="C279" s="41"/>
      <c r="D279" s="46" t="str">
        <f>K262</f>
        <v>12/8</v>
      </c>
      <c r="E279" s="44"/>
      <c r="F279" s="44"/>
      <c r="G279" s="41"/>
      <c r="H279" s="2"/>
      <c r="I279" s="40" t="s">
        <v>69</v>
      </c>
      <c r="J279" s="41"/>
      <c r="K279" s="46" t="str">
        <f>D279</f>
        <v>12/8</v>
      </c>
      <c r="L279" s="44"/>
      <c r="M279" s="44"/>
      <c r="N279" s="41"/>
    </row>
    <row r="280" spans="2:14" x14ac:dyDescent="0.2">
      <c r="B280" s="42"/>
      <c r="C280" s="43"/>
      <c r="D280" s="42"/>
      <c r="E280" s="45"/>
      <c r="F280" s="45"/>
      <c r="G280" s="43"/>
      <c r="H280" s="2"/>
      <c r="I280" s="42"/>
      <c r="J280" s="43"/>
      <c r="K280" s="42"/>
      <c r="L280" s="45"/>
      <c r="M280" s="45"/>
      <c r="N280" s="43"/>
    </row>
    <row r="281" spans="2:14" x14ac:dyDescent="0.2">
      <c r="B281" s="40" t="s">
        <v>25</v>
      </c>
      <c r="C281" s="41"/>
      <c r="D281" s="46" t="str">
        <f>K264</f>
        <v>DG</v>
      </c>
      <c r="E281" s="44"/>
      <c r="F281" s="44"/>
      <c r="G281" s="41"/>
      <c r="H281" s="2"/>
      <c r="I281" s="40" t="s">
        <v>25</v>
      </c>
      <c r="J281" s="41"/>
      <c r="K281" s="46" t="str">
        <f>D281</f>
        <v>DG</v>
      </c>
      <c r="L281" s="44"/>
      <c r="M281" s="44"/>
      <c r="N281" s="41"/>
    </row>
    <row r="282" spans="2:14" x14ac:dyDescent="0.2">
      <c r="B282" s="42"/>
      <c r="C282" s="43"/>
      <c r="D282" s="42"/>
      <c r="E282" s="45"/>
      <c r="F282" s="45"/>
      <c r="G282" s="43"/>
      <c r="H282" s="2"/>
      <c r="I282" s="42"/>
      <c r="J282" s="43"/>
      <c r="K282" s="42"/>
      <c r="L282" s="45"/>
      <c r="M282" s="45"/>
      <c r="N282" s="43"/>
    </row>
    <row r="283" spans="2:14" ht="14.25" customHeight="1" x14ac:dyDescent="0.2">
      <c r="B283" s="40" t="s">
        <v>28</v>
      </c>
      <c r="C283" s="41"/>
      <c r="D283" s="40">
        <f>+K266+1</f>
        <v>33</v>
      </c>
      <c r="E283" s="44"/>
      <c r="F283" s="44"/>
      <c r="G283" s="41"/>
      <c r="H283" s="2"/>
      <c r="I283" s="40" t="s">
        <v>28</v>
      </c>
      <c r="J283" s="41"/>
      <c r="K283" s="40">
        <f>+D283+1</f>
        <v>34</v>
      </c>
      <c r="L283" s="44"/>
      <c r="M283" s="44"/>
      <c r="N283" s="41"/>
    </row>
    <row r="284" spans="2:14" ht="14.25" customHeight="1" x14ac:dyDescent="0.2">
      <c r="B284" s="42"/>
      <c r="C284" s="43"/>
      <c r="D284" s="42"/>
      <c r="E284" s="45"/>
      <c r="F284" s="45"/>
      <c r="G284" s="43"/>
      <c r="H284" s="2"/>
      <c r="I284" s="42"/>
      <c r="J284" s="43"/>
      <c r="K284" s="42"/>
      <c r="L284" s="45"/>
      <c r="M284" s="45"/>
      <c r="N284" s="43"/>
    </row>
    <row r="285" spans="2:14" ht="11.25" customHeight="1" x14ac:dyDescent="0.2">
      <c r="B285" s="40" t="s">
        <v>29</v>
      </c>
      <c r="C285" s="41"/>
      <c r="D285" s="49" t="str">
        <f>_xlfn.CONCAT("*",B288,"*")</f>
        <v>*DG-33-12/8*</v>
      </c>
      <c r="E285" s="50"/>
      <c r="F285" s="50"/>
      <c r="G285" s="51"/>
      <c r="H285" s="2"/>
      <c r="I285" s="40" t="s">
        <v>29</v>
      </c>
      <c r="J285" s="41"/>
      <c r="K285" s="49" t="str">
        <f>_xlfn.CONCAT("*",I288,"*")</f>
        <v>*DG-34-12/8*</v>
      </c>
      <c r="L285" s="50"/>
      <c r="M285" s="50"/>
      <c r="N285" s="51"/>
    </row>
    <row r="286" spans="2:14" ht="11.25" customHeight="1" x14ac:dyDescent="0.2">
      <c r="B286" s="42"/>
      <c r="C286" s="43"/>
      <c r="D286" s="52"/>
      <c r="E286" s="53"/>
      <c r="F286" s="53"/>
      <c r="G286" s="54"/>
      <c r="H286" s="2"/>
      <c r="I286" s="42"/>
      <c r="J286" s="43"/>
      <c r="K286" s="52"/>
      <c r="L286" s="53"/>
      <c r="M286" s="53"/>
      <c r="N286" s="54"/>
    </row>
    <row r="287" spans="2:14" ht="13.5" x14ac:dyDescent="0.2">
      <c r="B287" s="47" t="s">
        <v>30</v>
      </c>
      <c r="C287" s="47"/>
      <c r="D287" s="47"/>
      <c r="E287" s="47"/>
      <c r="F287" s="47"/>
      <c r="G287" s="47"/>
      <c r="H287" s="2"/>
      <c r="I287" s="47" t="s">
        <v>30</v>
      </c>
      <c r="J287" s="47"/>
      <c r="K287" s="47"/>
      <c r="L287" s="47"/>
      <c r="M287" s="47"/>
      <c r="N287" s="47"/>
    </row>
    <row r="288" spans="2:14" x14ac:dyDescent="0.2">
      <c r="B288" s="48" t="str">
        <f>_xlfn.CONCAT(D281,"-",D283,"-",D279)</f>
        <v>DG-33-12/8</v>
      </c>
      <c r="C288" s="48"/>
      <c r="D288" s="48"/>
      <c r="E288" s="48"/>
      <c r="F288" s="48"/>
      <c r="G288" s="48"/>
      <c r="H288" s="2"/>
      <c r="I288" s="48" t="str">
        <f>_xlfn.CONCAT(K281,"-",K283,"-",K279)</f>
        <v>DG-34-12/8</v>
      </c>
      <c r="J288" s="48"/>
      <c r="K288" s="48"/>
      <c r="L288" s="48"/>
      <c r="M288" s="48"/>
      <c r="N288" s="48"/>
    </row>
    <row r="289" spans="2:14" x14ac:dyDescent="0.2">
      <c r="B289" s="48"/>
      <c r="C289" s="48"/>
      <c r="D289" s="48"/>
      <c r="E289" s="48"/>
      <c r="F289" s="48"/>
      <c r="G289" s="48"/>
      <c r="H289" s="2"/>
      <c r="I289" s="48"/>
      <c r="J289" s="48"/>
      <c r="K289" s="48"/>
      <c r="L289" s="48"/>
      <c r="M289" s="48"/>
      <c r="N289" s="48"/>
    </row>
    <row r="290" spans="2:14" x14ac:dyDescent="0.2">
      <c r="B290" s="48"/>
      <c r="C290" s="48"/>
      <c r="D290" s="48"/>
      <c r="E290" s="48"/>
      <c r="F290" s="48"/>
      <c r="G290" s="48"/>
      <c r="H290" s="2"/>
      <c r="I290" s="48"/>
      <c r="J290" s="48"/>
      <c r="K290" s="48"/>
      <c r="L290" s="48"/>
      <c r="M290" s="48"/>
      <c r="N290" s="48"/>
    </row>
    <row r="291" spans="2:14" x14ac:dyDescent="0.2">
      <c r="B291" s="48"/>
      <c r="C291" s="48"/>
      <c r="D291" s="48"/>
      <c r="E291" s="48"/>
      <c r="F291" s="48"/>
      <c r="G291" s="48"/>
      <c r="H291" s="2"/>
      <c r="I291" s="48"/>
      <c r="J291" s="48"/>
      <c r="K291" s="48"/>
      <c r="L291" s="48"/>
      <c r="M291" s="48"/>
      <c r="N291" s="48"/>
    </row>
    <row r="292" spans="2:14" x14ac:dyDescent="0.2">
      <c r="B292" s="48"/>
      <c r="C292" s="48"/>
      <c r="D292" s="48"/>
      <c r="E292" s="48"/>
      <c r="F292" s="48"/>
      <c r="G292" s="48"/>
      <c r="H292" s="2"/>
      <c r="I292" s="48"/>
      <c r="J292" s="48"/>
      <c r="K292" s="48"/>
      <c r="L292" s="48"/>
      <c r="M292" s="48"/>
      <c r="N292" s="48"/>
    </row>
    <row r="293" spans="2:14" x14ac:dyDescent="0.2">
      <c r="B293" s="48"/>
      <c r="C293" s="48"/>
      <c r="D293" s="48"/>
      <c r="E293" s="48"/>
      <c r="F293" s="48"/>
      <c r="G293" s="48"/>
      <c r="H293" s="2"/>
      <c r="I293" s="48"/>
      <c r="J293" s="48"/>
      <c r="K293" s="48"/>
      <c r="L293" s="48"/>
      <c r="M293" s="48"/>
      <c r="N293" s="48"/>
    </row>
    <row r="294" spans="2:14" x14ac:dyDescent="0.2">
      <c r="B294" s="48"/>
      <c r="C294" s="48"/>
      <c r="D294" s="48"/>
      <c r="E294" s="48"/>
      <c r="F294" s="48"/>
      <c r="G294" s="48"/>
      <c r="H294" s="2"/>
      <c r="I294" s="48"/>
      <c r="J294" s="48"/>
      <c r="K294" s="48"/>
      <c r="L294" s="48"/>
      <c r="M294" s="48"/>
      <c r="N294" s="48"/>
    </row>
    <row r="296" spans="2:14" x14ac:dyDescent="0.2">
      <c r="B296" s="40" t="s">
        <v>69</v>
      </c>
      <c r="C296" s="41"/>
      <c r="D296" s="46" t="str">
        <f>K279</f>
        <v>12/8</v>
      </c>
      <c r="E296" s="44"/>
      <c r="F296" s="44"/>
      <c r="G296" s="41"/>
      <c r="H296" s="2"/>
      <c r="I296" s="40" t="s">
        <v>69</v>
      </c>
      <c r="J296" s="41"/>
      <c r="K296" s="46" t="str">
        <f>D296</f>
        <v>12/8</v>
      </c>
      <c r="L296" s="44"/>
      <c r="M296" s="44"/>
      <c r="N296" s="41"/>
    </row>
    <row r="297" spans="2:14" x14ac:dyDescent="0.2">
      <c r="B297" s="42"/>
      <c r="C297" s="43"/>
      <c r="D297" s="42"/>
      <c r="E297" s="45"/>
      <c r="F297" s="45"/>
      <c r="G297" s="43"/>
      <c r="H297" s="2"/>
      <c r="I297" s="42"/>
      <c r="J297" s="43"/>
      <c r="K297" s="42"/>
      <c r="L297" s="45"/>
      <c r="M297" s="45"/>
      <c r="N297" s="43"/>
    </row>
    <row r="298" spans="2:14" x14ac:dyDescent="0.2">
      <c r="B298" s="40" t="s">
        <v>25</v>
      </c>
      <c r="C298" s="41"/>
      <c r="D298" s="46" t="str">
        <f>K281</f>
        <v>DG</v>
      </c>
      <c r="E298" s="44"/>
      <c r="F298" s="44"/>
      <c r="G298" s="41"/>
      <c r="H298" s="2"/>
      <c r="I298" s="40" t="s">
        <v>25</v>
      </c>
      <c r="J298" s="41"/>
      <c r="K298" s="46" t="str">
        <f>D298</f>
        <v>DG</v>
      </c>
      <c r="L298" s="44"/>
      <c r="M298" s="44"/>
      <c r="N298" s="41"/>
    </row>
    <row r="299" spans="2:14" x14ac:dyDescent="0.2">
      <c r="B299" s="42"/>
      <c r="C299" s="43"/>
      <c r="D299" s="42"/>
      <c r="E299" s="45"/>
      <c r="F299" s="45"/>
      <c r="G299" s="43"/>
      <c r="H299" s="2"/>
      <c r="I299" s="42"/>
      <c r="J299" s="43"/>
      <c r="K299" s="42"/>
      <c r="L299" s="45"/>
      <c r="M299" s="45"/>
      <c r="N299" s="43"/>
    </row>
    <row r="300" spans="2:14" ht="14.25" customHeight="1" x14ac:dyDescent="0.2">
      <c r="B300" s="40" t="s">
        <v>28</v>
      </c>
      <c r="C300" s="41"/>
      <c r="D300" s="40">
        <f>+K283+1</f>
        <v>35</v>
      </c>
      <c r="E300" s="44"/>
      <c r="F300" s="44"/>
      <c r="G300" s="41"/>
      <c r="H300" s="2"/>
      <c r="I300" s="40" t="s">
        <v>28</v>
      </c>
      <c r="J300" s="41"/>
      <c r="K300" s="40">
        <f>+D300+1</f>
        <v>36</v>
      </c>
      <c r="L300" s="44"/>
      <c r="M300" s="44"/>
      <c r="N300" s="41"/>
    </row>
    <row r="301" spans="2:14" ht="14.25" customHeight="1" x14ac:dyDescent="0.2">
      <c r="B301" s="42"/>
      <c r="C301" s="43"/>
      <c r="D301" s="42"/>
      <c r="E301" s="45"/>
      <c r="F301" s="45"/>
      <c r="G301" s="43"/>
      <c r="H301" s="2"/>
      <c r="I301" s="42"/>
      <c r="J301" s="43"/>
      <c r="K301" s="42"/>
      <c r="L301" s="45"/>
      <c r="M301" s="45"/>
      <c r="N301" s="43"/>
    </row>
    <row r="302" spans="2:14" ht="11.25" customHeight="1" x14ac:dyDescent="0.2">
      <c r="B302" s="40" t="s">
        <v>29</v>
      </c>
      <c r="C302" s="41"/>
      <c r="D302" s="49" t="str">
        <f>_xlfn.CONCAT("*",B305,"*")</f>
        <v>*DG-35-12/8*</v>
      </c>
      <c r="E302" s="50"/>
      <c r="F302" s="50"/>
      <c r="G302" s="51"/>
      <c r="H302" s="2"/>
      <c r="I302" s="40" t="s">
        <v>29</v>
      </c>
      <c r="J302" s="41"/>
      <c r="K302" s="49" t="str">
        <f>_xlfn.CONCAT("*",I305,"*")</f>
        <v>*DG-36-12/8*</v>
      </c>
      <c r="L302" s="50"/>
      <c r="M302" s="50"/>
      <c r="N302" s="51"/>
    </row>
    <row r="303" spans="2:14" ht="11.25" customHeight="1" x14ac:dyDescent="0.2">
      <c r="B303" s="42"/>
      <c r="C303" s="43"/>
      <c r="D303" s="52"/>
      <c r="E303" s="53"/>
      <c r="F303" s="53"/>
      <c r="G303" s="54"/>
      <c r="H303" s="2"/>
      <c r="I303" s="42"/>
      <c r="J303" s="43"/>
      <c r="K303" s="52"/>
      <c r="L303" s="53"/>
      <c r="M303" s="53"/>
      <c r="N303" s="54"/>
    </row>
    <row r="304" spans="2:14" ht="13.5" x14ac:dyDescent="0.2">
      <c r="B304" s="47" t="s">
        <v>30</v>
      </c>
      <c r="C304" s="47"/>
      <c r="D304" s="47"/>
      <c r="E304" s="47"/>
      <c r="F304" s="47"/>
      <c r="G304" s="47"/>
      <c r="H304" s="2"/>
      <c r="I304" s="47" t="s">
        <v>30</v>
      </c>
      <c r="J304" s="47"/>
      <c r="K304" s="47"/>
      <c r="L304" s="47"/>
      <c r="M304" s="47"/>
      <c r="N304" s="47"/>
    </row>
    <row r="305" spans="2:14" x14ac:dyDescent="0.2">
      <c r="B305" s="48" t="str">
        <f>_xlfn.CONCAT(D298,"-",D300,"-",D296)</f>
        <v>DG-35-12/8</v>
      </c>
      <c r="C305" s="48"/>
      <c r="D305" s="48"/>
      <c r="E305" s="48"/>
      <c r="F305" s="48"/>
      <c r="G305" s="48"/>
      <c r="H305" s="2"/>
      <c r="I305" s="48" t="str">
        <f>_xlfn.CONCAT(K298,"-",K300,"-",K296)</f>
        <v>DG-36-12/8</v>
      </c>
      <c r="J305" s="48"/>
      <c r="K305" s="48"/>
      <c r="L305" s="48"/>
      <c r="M305" s="48"/>
      <c r="N305" s="48"/>
    </row>
    <row r="306" spans="2:14" x14ac:dyDescent="0.2">
      <c r="B306" s="48"/>
      <c r="C306" s="48"/>
      <c r="D306" s="48"/>
      <c r="E306" s="48"/>
      <c r="F306" s="48"/>
      <c r="G306" s="48"/>
      <c r="H306" s="2"/>
      <c r="I306" s="48"/>
      <c r="J306" s="48"/>
      <c r="K306" s="48"/>
      <c r="L306" s="48"/>
      <c r="M306" s="48"/>
      <c r="N306" s="48"/>
    </row>
    <row r="307" spans="2:14" x14ac:dyDescent="0.2">
      <c r="B307" s="48"/>
      <c r="C307" s="48"/>
      <c r="D307" s="48"/>
      <c r="E307" s="48"/>
      <c r="F307" s="48"/>
      <c r="G307" s="48"/>
      <c r="H307" s="2"/>
      <c r="I307" s="48"/>
      <c r="J307" s="48"/>
      <c r="K307" s="48"/>
      <c r="L307" s="48"/>
      <c r="M307" s="48"/>
      <c r="N307" s="48"/>
    </row>
    <row r="308" spans="2:14" x14ac:dyDescent="0.2">
      <c r="B308" s="48"/>
      <c r="C308" s="48"/>
      <c r="D308" s="48"/>
      <c r="E308" s="48"/>
      <c r="F308" s="48"/>
      <c r="G308" s="48"/>
      <c r="H308" s="2"/>
      <c r="I308" s="48"/>
      <c r="J308" s="48"/>
      <c r="K308" s="48"/>
      <c r="L308" s="48"/>
      <c r="M308" s="48"/>
      <c r="N308" s="48"/>
    </row>
    <row r="309" spans="2:14" x14ac:dyDescent="0.2">
      <c r="B309" s="48"/>
      <c r="C309" s="48"/>
      <c r="D309" s="48"/>
      <c r="E309" s="48"/>
      <c r="F309" s="48"/>
      <c r="G309" s="48"/>
      <c r="H309" s="2"/>
      <c r="I309" s="48"/>
      <c r="J309" s="48"/>
      <c r="K309" s="48"/>
      <c r="L309" s="48"/>
      <c r="M309" s="48"/>
      <c r="N309" s="48"/>
    </row>
    <row r="310" spans="2:14" x14ac:dyDescent="0.2">
      <c r="B310" s="48"/>
      <c r="C310" s="48"/>
      <c r="D310" s="48"/>
      <c r="E310" s="48"/>
      <c r="F310" s="48"/>
      <c r="G310" s="48"/>
      <c r="H310" s="2"/>
      <c r="I310" s="48"/>
      <c r="J310" s="48"/>
      <c r="K310" s="48"/>
      <c r="L310" s="48"/>
      <c r="M310" s="48"/>
      <c r="N310" s="48"/>
    </row>
    <row r="311" spans="2:14" x14ac:dyDescent="0.2">
      <c r="B311" s="48"/>
      <c r="C311" s="48"/>
      <c r="D311" s="48"/>
      <c r="E311" s="48"/>
      <c r="F311" s="48"/>
      <c r="G311" s="48"/>
      <c r="H311" s="2"/>
      <c r="I311" s="48"/>
      <c r="J311" s="48"/>
      <c r="K311" s="48"/>
      <c r="L311" s="48"/>
      <c r="M311" s="48"/>
      <c r="N311" s="48"/>
    </row>
    <row r="313" spans="2:14" x14ac:dyDescent="0.2">
      <c r="B313" s="40" t="s">
        <v>69</v>
      </c>
      <c r="C313" s="41"/>
      <c r="D313" s="46" t="str">
        <f>K296</f>
        <v>12/8</v>
      </c>
      <c r="E313" s="44"/>
      <c r="F313" s="44"/>
      <c r="G313" s="41"/>
      <c r="H313" s="2"/>
      <c r="I313" s="40" t="s">
        <v>69</v>
      </c>
      <c r="J313" s="41"/>
      <c r="K313" s="46" t="str">
        <f>D313</f>
        <v>12/8</v>
      </c>
      <c r="L313" s="44"/>
      <c r="M313" s="44"/>
      <c r="N313" s="41"/>
    </row>
    <row r="314" spans="2:14" x14ac:dyDescent="0.2">
      <c r="B314" s="42"/>
      <c r="C314" s="43"/>
      <c r="D314" s="42"/>
      <c r="E314" s="45"/>
      <c r="F314" s="45"/>
      <c r="G314" s="43"/>
      <c r="H314" s="2"/>
      <c r="I314" s="42"/>
      <c r="J314" s="43"/>
      <c r="K314" s="42"/>
      <c r="L314" s="45"/>
      <c r="M314" s="45"/>
      <c r="N314" s="43"/>
    </row>
    <row r="315" spans="2:14" x14ac:dyDescent="0.2">
      <c r="B315" s="40" t="s">
        <v>25</v>
      </c>
      <c r="C315" s="41"/>
      <c r="D315" s="46" t="str">
        <f>K298</f>
        <v>DG</v>
      </c>
      <c r="E315" s="44"/>
      <c r="F315" s="44"/>
      <c r="G315" s="41"/>
      <c r="H315" s="2"/>
      <c r="I315" s="40" t="s">
        <v>25</v>
      </c>
      <c r="J315" s="41"/>
      <c r="K315" s="46" t="str">
        <f>D315</f>
        <v>DG</v>
      </c>
      <c r="L315" s="44"/>
      <c r="M315" s="44"/>
      <c r="N315" s="41"/>
    </row>
    <row r="316" spans="2:14" x14ac:dyDescent="0.2">
      <c r="B316" s="42"/>
      <c r="C316" s="43"/>
      <c r="D316" s="42"/>
      <c r="E316" s="45"/>
      <c r="F316" s="45"/>
      <c r="G316" s="43"/>
      <c r="H316" s="2"/>
      <c r="I316" s="42"/>
      <c r="J316" s="43"/>
      <c r="K316" s="42"/>
      <c r="L316" s="45"/>
      <c r="M316" s="45"/>
      <c r="N316" s="43"/>
    </row>
    <row r="317" spans="2:14" ht="14.25" customHeight="1" x14ac:dyDescent="0.2">
      <c r="B317" s="40" t="s">
        <v>28</v>
      </c>
      <c r="C317" s="41"/>
      <c r="D317" s="40">
        <f>+K300+1</f>
        <v>37</v>
      </c>
      <c r="E317" s="44"/>
      <c r="F317" s="44"/>
      <c r="G317" s="41"/>
      <c r="H317" s="2"/>
      <c r="I317" s="40" t="s">
        <v>28</v>
      </c>
      <c r="J317" s="41"/>
      <c r="K317" s="40">
        <f>+D317+1</f>
        <v>38</v>
      </c>
      <c r="L317" s="44"/>
      <c r="M317" s="44"/>
      <c r="N317" s="41"/>
    </row>
    <row r="318" spans="2:14" ht="14.25" customHeight="1" x14ac:dyDescent="0.2">
      <c r="B318" s="42"/>
      <c r="C318" s="43"/>
      <c r="D318" s="42"/>
      <c r="E318" s="45"/>
      <c r="F318" s="45"/>
      <c r="G318" s="43"/>
      <c r="H318" s="2"/>
      <c r="I318" s="42"/>
      <c r="J318" s="43"/>
      <c r="K318" s="42"/>
      <c r="L318" s="45"/>
      <c r="M318" s="45"/>
      <c r="N318" s="43"/>
    </row>
    <row r="319" spans="2:14" ht="11.25" customHeight="1" x14ac:dyDescent="0.2">
      <c r="B319" s="40" t="s">
        <v>29</v>
      </c>
      <c r="C319" s="41"/>
      <c r="D319" s="49" t="str">
        <f>_xlfn.CONCAT("*",B322,"*")</f>
        <v>*DG-37-12/8*</v>
      </c>
      <c r="E319" s="50"/>
      <c r="F319" s="50"/>
      <c r="G319" s="51"/>
      <c r="H319" s="2"/>
      <c r="I319" s="40" t="s">
        <v>29</v>
      </c>
      <c r="J319" s="41"/>
      <c r="K319" s="49" t="str">
        <f>_xlfn.CONCAT("*",I322,"*")</f>
        <v>*DG-38-12/8*</v>
      </c>
      <c r="L319" s="50"/>
      <c r="M319" s="50"/>
      <c r="N319" s="51"/>
    </row>
    <row r="320" spans="2:14" ht="11.25" customHeight="1" x14ac:dyDescent="0.2">
      <c r="B320" s="42"/>
      <c r="C320" s="43"/>
      <c r="D320" s="52"/>
      <c r="E320" s="53"/>
      <c r="F320" s="53"/>
      <c r="G320" s="54"/>
      <c r="H320" s="2"/>
      <c r="I320" s="42"/>
      <c r="J320" s="43"/>
      <c r="K320" s="52"/>
      <c r="L320" s="53"/>
      <c r="M320" s="53"/>
      <c r="N320" s="54"/>
    </row>
    <row r="321" spans="2:14" ht="13.5" x14ac:dyDescent="0.2">
      <c r="B321" s="47" t="s">
        <v>30</v>
      </c>
      <c r="C321" s="47"/>
      <c r="D321" s="47"/>
      <c r="E321" s="47"/>
      <c r="F321" s="47"/>
      <c r="G321" s="47"/>
      <c r="H321" s="2"/>
      <c r="I321" s="47" t="s">
        <v>30</v>
      </c>
      <c r="J321" s="47"/>
      <c r="K321" s="47"/>
      <c r="L321" s="47"/>
      <c r="M321" s="47"/>
      <c r="N321" s="47"/>
    </row>
    <row r="322" spans="2:14" x14ac:dyDescent="0.2">
      <c r="B322" s="48" t="str">
        <f>_xlfn.CONCAT(D315,"-",D317,"-",D313)</f>
        <v>DG-37-12/8</v>
      </c>
      <c r="C322" s="48"/>
      <c r="D322" s="48"/>
      <c r="E322" s="48"/>
      <c r="F322" s="48"/>
      <c r="G322" s="48"/>
      <c r="H322" s="2"/>
      <c r="I322" s="48" t="str">
        <f>_xlfn.CONCAT(K315,"-",K317,"-",K313)</f>
        <v>DG-38-12/8</v>
      </c>
      <c r="J322" s="48"/>
      <c r="K322" s="48"/>
      <c r="L322" s="48"/>
      <c r="M322" s="48"/>
      <c r="N322" s="48"/>
    </row>
    <row r="323" spans="2:14" x14ac:dyDescent="0.2">
      <c r="B323" s="48"/>
      <c r="C323" s="48"/>
      <c r="D323" s="48"/>
      <c r="E323" s="48"/>
      <c r="F323" s="48"/>
      <c r="G323" s="48"/>
      <c r="H323" s="2"/>
      <c r="I323" s="48"/>
      <c r="J323" s="48"/>
      <c r="K323" s="48"/>
      <c r="L323" s="48"/>
      <c r="M323" s="48"/>
      <c r="N323" s="48"/>
    </row>
    <row r="324" spans="2:14" x14ac:dyDescent="0.2">
      <c r="B324" s="48"/>
      <c r="C324" s="48"/>
      <c r="D324" s="48"/>
      <c r="E324" s="48"/>
      <c r="F324" s="48"/>
      <c r="G324" s="48"/>
      <c r="H324" s="2"/>
      <c r="I324" s="48"/>
      <c r="J324" s="48"/>
      <c r="K324" s="48"/>
      <c r="L324" s="48"/>
      <c r="M324" s="48"/>
      <c r="N324" s="48"/>
    </row>
    <row r="325" spans="2:14" x14ac:dyDescent="0.2">
      <c r="B325" s="48"/>
      <c r="C325" s="48"/>
      <c r="D325" s="48"/>
      <c r="E325" s="48"/>
      <c r="F325" s="48"/>
      <c r="G325" s="48"/>
      <c r="H325" s="2"/>
      <c r="I325" s="48"/>
      <c r="J325" s="48"/>
      <c r="K325" s="48"/>
      <c r="L325" s="48"/>
      <c r="M325" s="48"/>
      <c r="N325" s="48"/>
    </row>
    <row r="326" spans="2:14" x14ac:dyDescent="0.2">
      <c r="B326" s="48"/>
      <c r="C326" s="48"/>
      <c r="D326" s="48"/>
      <c r="E326" s="48"/>
      <c r="F326" s="48"/>
      <c r="G326" s="48"/>
      <c r="H326" s="2"/>
      <c r="I326" s="48"/>
      <c r="J326" s="48"/>
      <c r="K326" s="48"/>
      <c r="L326" s="48"/>
      <c r="M326" s="48"/>
      <c r="N326" s="48"/>
    </row>
    <row r="327" spans="2:14" x14ac:dyDescent="0.2">
      <c r="B327" s="48"/>
      <c r="C327" s="48"/>
      <c r="D327" s="48"/>
      <c r="E327" s="48"/>
      <c r="F327" s="48"/>
      <c r="G327" s="48"/>
      <c r="H327" s="2"/>
      <c r="I327" s="48"/>
      <c r="J327" s="48"/>
      <c r="K327" s="48"/>
      <c r="L327" s="48"/>
      <c r="M327" s="48"/>
      <c r="N327" s="48"/>
    </row>
    <row r="328" spans="2:14" x14ac:dyDescent="0.2">
      <c r="B328" s="48"/>
      <c r="C328" s="48"/>
      <c r="D328" s="48"/>
      <c r="E328" s="48"/>
      <c r="F328" s="48"/>
      <c r="G328" s="48"/>
      <c r="H328" s="2"/>
      <c r="I328" s="48"/>
      <c r="J328" s="48"/>
      <c r="K328" s="48"/>
      <c r="L328" s="48"/>
      <c r="M328" s="48"/>
      <c r="N328" s="48"/>
    </row>
    <row r="330" spans="2:14" x14ac:dyDescent="0.2">
      <c r="B330" s="40" t="s">
        <v>69</v>
      </c>
      <c r="C330" s="41"/>
      <c r="D330" s="46" t="str">
        <f>K313</f>
        <v>12/8</v>
      </c>
      <c r="E330" s="44"/>
      <c r="F330" s="44"/>
      <c r="G330" s="41"/>
      <c r="H330" s="2"/>
      <c r="I330" s="40" t="s">
        <v>69</v>
      </c>
      <c r="J330" s="41"/>
      <c r="K330" s="46" t="str">
        <f>D330</f>
        <v>12/8</v>
      </c>
      <c r="L330" s="44"/>
      <c r="M330" s="44"/>
      <c r="N330" s="41"/>
    </row>
    <row r="331" spans="2:14" x14ac:dyDescent="0.2">
      <c r="B331" s="42"/>
      <c r="C331" s="43"/>
      <c r="D331" s="42"/>
      <c r="E331" s="45"/>
      <c r="F331" s="45"/>
      <c r="G331" s="43"/>
      <c r="H331" s="2"/>
      <c r="I331" s="42"/>
      <c r="J331" s="43"/>
      <c r="K331" s="42"/>
      <c r="L331" s="45"/>
      <c r="M331" s="45"/>
      <c r="N331" s="43"/>
    </row>
    <row r="332" spans="2:14" x14ac:dyDescent="0.2">
      <c r="B332" s="40" t="s">
        <v>25</v>
      </c>
      <c r="C332" s="41"/>
      <c r="D332" s="46" t="str">
        <f>K315</f>
        <v>DG</v>
      </c>
      <c r="E332" s="44"/>
      <c r="F332" s="44"/>
      <c r="G332" s="41"/>
      <c r="H332" s="2"/>
      <c r="I332" s="40" t="s">
        <v>25</v>
      </c>
      <c r="J332" s="41"/>
      <c r="K332" s="46" t="str">
        <f>D332</f>
        <v>DG</v>
      </c>
      <c r="L332" s="44"/>
      <c r="M332" s="44"/>
      <c r="N332" s="41"/>
    </row>
    <row r="333" spans="2:14" x14ac:dyDescent="0.2">
      <c r="B333" s="42"/>
      <c r="C333" s="43"/>
      <c r="D333" s="42"/>
      <c r="E333" s="45"/>
      <c r="F333" s="45"/>
      <c r="G333" s="43"/>
      <c r="H333" s="2"/>
      <c r="I333" s="42"/>
      <c r="J333" s="43"/>
      <c r="K333" s="42"/>
      <c r="L333" s="45"/>
      <c r="M333" s="45"/>
      <c r="N333" s="43"/>
    </row>
    <row r="334" spans="2:14" ht="14.25" customHeight="1" x14ac:dyDescent="0.2">
      <c r="B334" s="40" t="s">
        <v>28</v>
      </c>
      <c r="C334" s="41"/>
      <c r="D334" s="40">
        <f>+K317+1</f>
        <v>39</v>
      </c>
      <c r="E334" s="44"/>
      <c r="F334" s="44"/>
      <c r="G334" s="41"/>
      <c r="H334" s="2"/>
      <c r="I334" s="40" t="s">
        <v>28</v>
      </c>
      <c r="J334" s="41"/>
      <c r="K334" s="40">
        <f>+D334+1</f>
        <v>40</v>
      </c>
      <c r="L334" s="44"/>
      <c r="M334" s="44"/>
      <c r="N334" s="41"/>
    </row>
    <row r="335" spans="2:14" ht="14.25" customHeight="1" x14ac:dyDescent="0.2">
      <c r="B335" s="42"/>
      <c r="C335" s="43"/>
      <c r="D335" s="42"/>
      <c r="E335" s="45"/>
      <c r="F335" s="45"/>
      <c r="G335" s="43"/>
      <c r="H335" s="2"/>
      <c r="I335" s="42"/>
      <c r="J335" s="43"/>
      <c r="K335" s="42"/>
      <c r="L335" s="45"/>
      <c r="M335" s="45"/>
      <c r="N335" s="43"/>
    </row>
    <row r="336" spans="2:14" ht="11.25" customHeight="1" x14ac:dyDescent="0.2">
      <c r="B336" s="40" t="s">
        <v>29</v>
      </c>
      <c r="C336" s="41"/>
      <c r="D336" s="49" t="str">
        <f>_xlfn.CONCAT("*",B339,"*")</f>
        <v>*DG-39-12/8*</v>
      </c>
      <c r="E336" s="50"/>
      <c r="F336" s="50"/>
      <c r="G336" s="51"/>
      <c r="H336" s="2"/>
      <c r="I336" s="40" t="s">
        <v>29</v>
      </c>
      <c r="J336" s="41"/>
      <c r="K336" s="49" t="str">
        <f>_xlfn.CONCAT("*",I339,"*")</f>
        <v>*DG-40-12/8*</v>
      </c>
      <c r="L336" s="50"/>
      <c r="M336" s="50"/>
      <c r="N336" s="51"/>
    </row>
    <row r="337" spans="2:14" ht="11.25" customHeight="1" x14ac:dyDescent="0.2">
      <c r="B337" s="42"/>
      <c r="C337" s="43"/>
      <c r="D337" s="52"/>
      <c r="E337" s="53"/>
      <c r="F337" s="53"/>
      <c r="G337" s="54"/>
      <c r="H337" s="2"/>
      <c r="I337" s="42"/>
      <c r="J337" s="43"/>
      <c r="K337" s="52"/>
      <c r="L337" s="53"/>
      <c r="M337" s="53"/>
      <c r="N337" s="54"/>
    </row>
    <row r="338" spans="2:14" ht="13.5" x14ac:dyDescent="0.2">
      <c r="B338" s="47" t="s">
        <v>30</v>
      </c>
      <c r="C338" s="47"/>
      <c r="D338" s="47"/>
      <c r="E338" s="47"/>
      <c r="F338" s="47"/>
      <c r="G338" s="47"/>
      <c r="H338" s="2"/>
      <c r="I338" s="47" t="s">
        <v>30</v>
      </c>
      <c r="J338" s="47"/>
      <c r="K338" s="47"/>
      <c r="L338" s="47"/>
      <c r="M338" s="47"/>
      <c r="N338" s="47"/>
    </row>
    <row r="339" spans="2:14" x14ac:dyDescent="0.2">
      <c r="B339" s="48" t="str">
        <f>_xlfn.CONCAT(D332,"-",D334,"-",D330)</f>
        <v>DG-39-12/8</v>
      </c>
      <c r="C339" s="48"/>
      <c r="D339" s="48"/>
      <c r="E339" s="48"/>
      <c r="F339" s="48"/>
      <c r="G339" s="48"/>
      <c r="H339" s="2"/>
      <c r="I339" s="48" t="str">
        <f>_xlfn.CONCAT(K332,"-",K334,"-",K330)</f>
        <v>DG-40-12/8</v>
      </c>
      <c r="J339" s="48"/>
      <c r="K339" s="48"/>
      <c r="L339" s="48"/>
      <c r="M339" s="48"/>
      <c r="N339" s="48"/>
    </row>
    <row r="340" spans="2:14" x14ac:dyDescent="0.2">
      <c r="B340" s="48"/>
      <c r="C340" s="48"/>
      <c r="D340" s="48"/>
      <c r="E340" s="48"/>
      <c r="F340" s="48"/>
      <c r="G340" s="48"/>
      <c r="H340" s="2"/>
      <c r="I340" s="48"/>
      <c r="J340" s="48"/>
      <c r="K340" s="48"/>
      <c r="L340" s="48"/>
      <c r="M340" s="48"/>
      <c r="N340" s="48"/>
    </row>
    <row r="341" spans="2:14" x14ac:dyDescent="0.2">
      <c r="B341" s="48"/>
      <c r="C341" s="48"/>
      <c r="D341" s="48"/>
      <c r="E341" s="48"/>
      <c r="F341" s="48"/>
      <c r="G341" s="48"/>
      <c r="H341" s="2"/>
      <c r="I341" s="48"/>
      <c r="J341" s="48"/>
      <c r="K341" s="48"/>
      <c r="L341" s="48"/>
      <c r="M341" s="48"/>
      <c r="N341" s="48"/>
    </row>
    <row r="342" spans="2:14" x14ac:dyDescent="0.2">
      <c r="B342" s="48"/>
      <c r="C342" s="48"/>
      <c r="D342" s="48"/>
      <c r="E342" s="48"/>
      <c r="F342" s="48"/>
      <c r="G342" s="48"/>
      <c r="H342" s="2"/>
      <c r="I342" s="48"/>
      <c r="J342" s="48"/>
      <c r="K342" s="48"/>
      <c r="L342" s="48"/>
      <c r="M342" s="48"/>
      <c r="N342" s="48"/>
    </row>
    <row r="343" spans="2:14" x14ac:dyDescent="0.2">
      <c r="B343" s="48"/>
      <c r="C343" s="48"/>
      <c r="D343" s="48"/>
      <c r="E343" s="48"/>
      <c r="F343" s="48"/>
      <c r="G343" s="48"/>
      <c r="H343" s="2"/>
      <c r="I343" s="48"/>
      <c r="J343" s="48"/>
      <c r="K343" s="48"/>
      <c r="L343" s="48"/>
      <c r="M343" s="48"/>
      <c r="N343" s="48"/>
    </row>
    <row r="344" spans="2:14" x14ac:dyDescent="0.2">
      <c r="B344" s="48"/>
      <c r="C344" s="48"/>
      <c r="D344" s="48"/>
      <c r="E344" s="48"/>
      <c r="F344" s="48"/>
      <c r="G344" s="48"/>
      <c r="H344" s="2"/>
      <c r="I344" s="48"/>
      <c r="J344" s="48"/>
      <c r="K344" s="48"/>
      <c r="L344" s="48"/>
      <c r="M344" s="48"/>
      <c r="N344" s="48"/>
    </row>
    <row r="345" spans="2:14" x14ac:dyDescent="0.2">
      <c r="B345" s="48"/>
      <c r="C345" s="48"/>
      <c r="D345" s="48"/>
      <c r="E345" s="48"/>
      <c r="F345" s="48"/>
      <c r="G345" s="48"/>
      <c r="H345" s="2"/>
      <c r="I345" s="48"/>
      <c r="J345" s="48"/>
      <c r="K345" s="48"/>
      <c r="L345" s="48"/>
      <c r="M345" s="48"/>
      <c r="N345" s="48"/>
    </row>
    <row r="347" spans="2:14" x14ac:dyDescent="0.2">
      <c r="B347" s="40" t="s">
        <v>69</v>
      </c>
      <c r="C347" s="41"/>
      <c r="D347" s="46" t="str">
        <f>K330</f>
        <v>12/8</v>
      </c>
      <c r="E347" s="44"/>
      <c r="F347" s="44"/>
      <c r="G347" s="41"/>
      <c r="H347" s="2"/>
      <c r="I347" s="40" t="s">
        <v>69</v>
      </c>
      <c r="J347" s="41"/>
      <c r="K347" s="46" t="str">
        <f>D347</f>
        <v>12/8</v>
      </c>
      <c r="L347" s="44"/>
      <c r="M347" s="44"/>
      <c r="N347" s="41"/>
    </row>
    <row r="348" spans="2:14" x14ac:dyDescent="0.2">
      <c r="B348" s="42"/>
      <c r="C348" s="43"/>
      <c r="D348" s="42"/>
      <c r="E348" s="45"/>
      <c r="F348" s="45"/>
      <c r="G348" s="43"/>
      <c r="H348" s="2"/>
      <c r="I348" s="42"/>
      <c r="J348" s="43"/>
      <c r="K348" s="42"/>
      <c r="L348" s="45"/>
      <c r="M348" s="45"/>
      <c r="N348" s="43"/>
    </row>
    <row r="349" spans="2:14" x14ac:dyDescent="0.2">
      <c r="B349" s="40" t="s">
        <v>25</v>
      </c>
      <c r="C349" s="41"/>
      <c r="D349" s="46" t="str">
        <f>K332</f>
        <v>DG</v>
      </c>
      <c r="E349" s="44"/>
      <c r="F349" s="44"/>
      <c r="G349" s="41"/>
      <c r="H349" s="2"/>
      <c r="I349" s="40" t="s">
        <v>25</v>
      </c>
      <c r="J349" s="41"/>
      <c r="K349" s="46" t="str">
        <f>D349</f>
        <v>DG</v>
      </c>
      <c r="L349" s="44"/>
      <c r="M349" s="44"/>
      <c r="N349" s="41"/>
    </row>
    <row r="350" spans="2:14" x14ac:dyDescent="0.2">
      <c r="B350" s="42"/>
      <c r="C350" s="43"/>
      <c r="D350" s="42"/>
      <c r="E350" s="45"/>
      <c r="F350" s="45"/>
      <c r="G350" s="43"/>
      <c r="H350" s="2"/>
      <c r="I350" s="42"/>
      <c r="J350" s="43"/>
      <c r="K350" s="42"/>
      <c r="L350" s="45"/>
      <c r="M350" s="45"/>
      <c r="N350" s="43"/>
    </row>
    <row r="351" spans="2:14" ht="14.25" customHeight="1" x14ac:dyDescent="0.2">
      <c r="B351" s="40" t="s">
        <v>28</v>
      </c>
      <c r="C351" s="41"/>
      <c r="D351" s="40">
        <f>+K334+1</f>
        <v>41</v>
      </c>
      <c r="E351" s="44"/>
      <c r="F351" s="44"/>
      <c r="G351" s="41"/>
      <c r="H351" s="2"/>
      <c r="I351" s="40" t="s">
        <v>28</v>
      </c>
      <c r="J351" s="41"/>
      <c r="K351" s="40">
        <f>+D351+1</f>
        <v>42</v>
      </c>
      <c r="L351" s="44"/>
      <c r="M351" s="44"/>
      <c r="N351" s="41"/>
    </row>
    <row r="352" spans="2:14" ht="14.25" customHeight="1" x14ac:dyDescent="0.2">
      <c r="B352" s="42"/>
      <c r="C352" s="43"/>
      <c r="D352" s="42"/>
      <c r="E352" s="45"/>
      <c r="F352" s="45"/>
      <c r="G352" s="43"/>
      <c r="H352" s="2"/>
      <c r="I352" s="42"/>
      <c r="J352" s="43"/>
      <c r="K352" s="42"/>
      <c r="L352" s="45"/>
      <c r="M352" s="45"/>
      <c r="N352" s="43"/>
    </row>
    <row r="353" spans="2:14" ht="11.25" customHeight="1" x14ac:dyDescent="0.2">
      <c r="B353" s="40" t="s">
        <v>29</v>
      </c>
      <c r="C353" s="41"/>
      <c r="D353" s="49" t="str">
        <f>_xlfn.CONCAT("*",B356,"*")</f>
        <v>*DG-41-12/8*</v>
      </c>
      <c r="E353" s="50"/>
      <c r="F353" s="50"/>
      <c r="G353" s="51"/>
      <c r="H353" s="2"/>
      <c r="I353" s="40" t="s">
        <v>29</v>
      </c>
      <c r="J353" s="41"/>
      <c r="K353" s="49" t="str">
        <f>_xlfn.CONCAT("*",I356,"*")</f>
        <v>*DG-42-12/8*</v>
      </c>
      <c r="L353" s="50"/>
      <c r="M353" s="50"/>
      <c r="N353" s="51"/>
    </row>
    <row r="354" spans="2:14" ht="11.25" customHeight="1" x14ac:dyDescent="0.2">
      <c r="B354" s="42"/>
      <c r="C354" s="43"/>
      <c r="D354" s="52"/>
      <c r="E354" s="53"/>
      <c r="F354" s="53"/>
      <c r="G354" s="54"/>
      <c r="H354" s="2"/>
      <c r="I354" s="42"/>
      <c r="J354" s="43"/>
      <c r="K354" s="52"/>
      <c r="L354" s="53"/>
      <c r="M354" s="53"/>
      <c r="N354" s="54"/>
    </row>
    <row r="355" spans="2:14" ht="13.5" x14ac:dyDescent="0.2">
      <c r="B355" s="47" t="s">
        <v>30</v>
      </c>
      <c r="C355" s="47"/>
      <c r="D355" s="47"/>
      <c r="E355" s="47"/>
      <c r="F355" s="47"/>
      <c r="G355" s="47"/>
      <c r="H355" s="2"/>
      <c r="I355" s="47" t="s">
        <v>30</v>
      </c>
      <c r="J355" s="47"/>
      <c r="K355" s="47"/>
      <c r="L355" s="47"/>
      <c r="M355" s="47"/>
      <c r="N355" s="47"/>
    </row>
    <row r="356" spans="2:14" x14ac:dyDescent="0.2">
      <c r="B356" s="48" t="str">
        <f>_xlfn.CONCAT(D349,"-",D351,"-",D347)</f>
        <v>DG-41-12/8</v>
      </c>
      <c r="C356" s="48"/>
      <c r="D356" s="48"/>
      <c r="E356" s="48"/>
      <c r="F356" s="48"/>
      <c r="G356" s="48"/>
      <c r="H356" s="2"/>
      <c r="I356" s="48" t="str">
        <f>_xlfn.CONCAT(K349,"-",K351,"-",K347)</f>
        <v>DG-42-12/8</v>
      </c>
      <c r="J356" s="48"/>
      <c r="K356" s="48"/>
      <c r="L356" s="48"/>
      <c r="M356" s="48"/>
      <c r="N356" s="48"/>
    </row>
    <row r="357" spans="2:14" x14ac:dyDescent="0.2">
      <c r="B357" s="48"/>
      <c r="C357" s="48"/>
      <c r="D357" s="48"/>
      <c r="E357" s="48"/>
      <c r="F357" s="48"/>
      <c r="G357" s="48"/>
      <c r="H357" s="2"/>
      <c r="I357" s="48"/>
      <c r="J357" s="48"/>
      <c r="K357" s="48"/>
      <c r="L357" s="48"/>
      <c r="M357" s="48"/>
      <c r="N357" s="48"/>
    </row>
    <row r="358" spans="2:14" x14ac:dyDescent="0.2">
      <c r="B358" s="48"/>
      <c r="C358" s="48"/>
      <c r="D358" s="48"/>
      <c r="E358" s="48"/>
      <c r="F358" s="48"/>
      <c r="G358" s="48"/>
      <c r="H358" s="2"/>
      <c r="I358" s="48"/>
      <c r="J358" s="48"/>
      <c r="K358" s="48"/>
      <c r="L358" s="48"/>
      <c r="M358" s="48"/>
      <c r="N358" s="48"/>
    </row>
    <row r="359" spans="2:14" x14ac:dyDescent="0.2">
      <c r="B359" s="48"/>
      <c r="C359" s="48"/>
      <c r="D359" s="48"/>
      <c r="E359" s="48"/>
      <c r="F359" s="48"/>
      <c r="G359" s="48"/>
      <c r="H359" s="2"/>
      <c r="I359" s="48"/>
      <c r="J359" s="48"/>
      <c r="K359" s="48"/>
      <c r="L359" s="48"/>
      <c r="M359" s="48"/>
      <c r="N359" s="48"/>
    </row>
    <row r="360" spans="2:14" x14ac:dyDescent="0.2">
      <c r="B360" s="48"/>
      <c r="C360" s="48"/>
      <c r="D360" s="48"/>
      <c r="E360" s="48"/>
      <c r="F360" s="48"/>
      <c r="G360" s="48"/>
      <c r="H360" s="2"/>
      <c r="I360" s="48"/>
      <c r="J360" s="48"/>
      <c r="K360" s="48"/>
      <c r="L360" s="48"/>
      <c r="M360" s="48"/>
      <c r="N360" s="48"/>
    </row>
    <row r="361" spans="2:14" x14ac:dyDescent="0.2">
      <c r="B361" s="48"/>
      <c r="C361" s="48"/>
      <c r="D361" s="48"/>
      <c r="E361" s="48"/>
      <c r="F361" s="48"/>
      <c r="G361" s="48"/>
      <c r="H361" s="2"/>
      <c r="I361" s="48"/>
      <c r="J361" s="48"/>
      <c r="K361" s="48"/>
      <c r="L361" s="48"/>
      <c r="M361" s="48"/>
      <c r="N361" s="48"/>
    </row>
    <row r="362" spans="2:14" x14ac:dyDescent="0.2">
      <c r="B362" s="48"/>
      <c r="C362" s="48"/>
      <c r="D362" s="48"/>
      <c r="E362" s="48"/>
      <c r="F362" s="48"/>
      <c r="G362" s="48"/>
      <c r="H362" s="2"/>
      <c r="I362" s="48"/>
      <c r="J362" s="48"/>
      <c r="K362" s="48"/>
      <c r="L362" s="48"/>
      <c r="M362" s="48"/>
      <c r="N362" s="48"/>
    </row>
    <row r="364" spans="2:14" x14ac:dyDescent="0.2">
      <c r="B364" s="40" t="s">
        <v>69</v>
      </c>
      <c r="C364" s="41"/>
      <c r="D364" s="46" t="str">
        <f>K347</f>
        <v>12/8</v>
      </c>
      <c r="E364" s="44"/>
      <c r="F364" s="44"/>
      <c r="G364" s="41"/>
      <c r="H364" s="2"/>
      <c r="I364" s="40" t="s">
        <v>69</v>
      </c>
      <c r="J364" s="41"/>
      <c r="K364" s="46" t="str">
        <f>D364</f>
        <v>12/8</v>
      </c>
      <c r="L364" s="44"/>
      <c r="M364" s="44"/>
      <c r="N364" s="41"/>
    </row>
    <row r="365" spans="2:14" x14ac:dyDescent="0.2">
      <c r="B365" s="42"/>
      <c r="C365" s="43"/>
      <c r="D365" s="42"/>
      <c r="E365" s="45"/>
      <c r="F365" s="45"/>
      <c r="G365" s="43"/>
      <c r="H365" s="2"/>
      <c r="I365" s="42"/>
      <c r="J365" s="43"/>
      <c r="K365" s="42"/>
      <c r="L365" s="45"/>
      <c r="M365" s="45"/>
      <c r="N365" s="43"/>
    </row>
    <row r="366" spans="2:14" x14ac:dyDescent="0.2">
      <c r="B366" s="40" t="s">
        <v>25</v>
      </c>
      <c r="C366" s="41"/>
      <c r="D366" s="46" t="str">
        <f>K349</f>
        <v>DG</v>
      </c>
      <c r="E366" s="44"/>
      <c r="F366" s="44"/>
      <c r="G366" s="41"/>
      <c r="H366" s="2"/>
      <c r="I366" s="40" t="s">
        <v>25</v>
      </c>
      <c r="J366" s="41"/>
      <c r="K366" s="46" t="str">
        <f>D366</f>
        <v>DG</v>
      </c>
      <c r="L366" s="44"/>
      <c r="M366" s="44"/>
      <c r="N366" s="41"/>
    </row>
    <row r="367" spans="2:14" x14ac:dyDescent="0.2">
      <c r="B367" s="42"/>
      <c r="C367" s="43"/>
      <c r="D367" s="42"/>
      <c r="E367" s="45"/>
      <c r="F367" s="45"/>
      <c r="G367" s="43"/>
      <c r="H367" s="2"/>
      <c r="I367" s="42"/>
      <c r="J367" s="43"/>
      <c r="K367" s="42"/>
      <c r="L367" s="45"/>
      <c r="M367" s="45"/>
      <c r="N367" s="43"/>
    </row>
    <row r="368" spans="2:14" ht="14.25" customHeight="1" x14ac:dyDescent="0.2">
      <c r="B368" s="40" t="s">
        <v>28</v>
      </c>
      <c r="C368" s="41"/>
      <c r="D368" s="40">
        <f>+K351+1</f>
        <v>43</v>
      </c>
      <c r="E368" s="44"/>
      <c r="F368" s="44"/>
      <c r="G368" s="41"/>
      <c r="H368" s="2"/>
      <c r="I368" s="40" t="s">
        <v>28</v>
      </c>
      <c r="J368" s="41"/>
      <c r="K368" s="40">
        <f>+D368+1</f>
        <v>44</v>
      </c>
      <c r="L368" s="44"/>
      <c r="M368" s="44"/>
      <c r="N368" s="41"/>
    </row>
    <row r="369" spans="2:14" ht="14.25" customHeight="1" x14ac:dyDescent="0.2">
      <c r="B369" s="42"/>
      <c r="C369" s="43"/>
      <c r="D369" s="42"/>
      <c r="E369" s="45"/>
      <c r="F369" s="45"/>
      <c r="G369" s="43"/>
      <c r="H369" s="2"/>
      <c r="I369" s="42"/>
      <c r="J369" s="43"/>
      <c r="K369" s="42"/>
      <c r="L369" s="45"/>
      <c r="M369" s="45"/>
      <c r="N369" s="43"/>
    </row>
    <row r="370" spans="2:14" ht="11.25" customHeight="1" x14ac:dyDescent="0.2">
      <c r="B370" s="40" t="s">
        <v>29</v>
      </c>
      <c r="C370" s="41"/>
      <c r="D370" s="49" t="str">
        <f>_xlfn.CONCAT("*",B373,"*")</f>
        <v>*DG-43-12/8*</v>
      </c>
      <c r="E370" s="50"/>
      <c r="F370" s="50"/>
      <c r="G370" s="51"/>
      <c r="H370" s="2"/>
      <c r="I370" s="40" t="s">
        <v>29</v>
      </c>
      <c r="J370" s="41"/>
      <c r="K370" s="49" t="str">
        <f>_xlfn.CONCAT("*",I373,"*")</f>
        <v>*DG-44-12/8*</v>
      </c>
      <c r="L370" s="50"/>
      <c r="M370" s="50"/>
      <c r="N370" s="51"/>
    </row>
    <row r="371" spans="2:14" ht="11.25" customHeight="1" x14ac:dyDescent="0.2">
      <c r="B371" s="42"/>
      <c r="C371" s="43"/>
      <c r="D371" s="52"/>
      <c r="E371" s="53"/>
      <c r="F371" s="53"/>
      <c r="G371" s="54"/>
      <c r="H371" s="2"/>
      <c r="I371" s="42"/>
      <c r="J371" s="43"/>
      <c r="K371" s="52"/>
      <c r="L371" s="53"/>
      <c r="M371" s="53"/>
      <c r="N371" s="54"/>
    </row>
    <row r="372" spans="2:14" ht="13.5" x14ac:dyDescent="0.2">
      <c r="B372" s="47" t="s">
        <v>30</v>
      </c>
      <c r="C372" s="47"/>
      <c r="D372" s="47"/>
      <c r="E372" s="47"/>
      <c r="F372" s="47"/>
      <c r="G372" s="47"/>
      <c r="H372" s="2"/>
      <c r="I372" s="47" t="s">
        <v>30</v>
      </c>
      <c r="J372" s="47"/>
      <c r="K372" s="47"/>
      <c r="L372" s="47"/>
      <c r="M372" s="47"/>
      <c r="N372" s="47"/>
    </row>
    <row r="373" spans="2:14" x14ac:dyDescent="0.2">
      <c r="B373" s="48" t="str">
        <f>_xlfn.CONCAT(D366,"-",D368,"-",D364)</f>
        <v>DG-43-12/8</v>
      </c>
      <c r="C373" s="48"/>
      <c r="D373" s="48"/>
      <c r="E373" s="48"/>
      <c r="F373" s="48"/>
      <c r="G373" s="48"/>
      <c r="H373" s="2"/>
      <c r="I373" s="48" t="str">
        <f>_xlfn.CONCAT(K366,"-",K368,"-",K364)</f>
        <v>DG-44-12/8</v>
      </c>
      <c r="J373" s="48"/>
      <c r="K373" s="48"/>
      <c r="L373" s="48"/>
      <c r="M373" s="48"/>
      <c r="N373" s="48"/>
    </row>
    <row r="374" spans="2:14" x14ac:dyDescent="0.2">
      <c r="B374" s="48"/>
      <c r="C374" s="48"/>
      <c r="D374" s="48"/>
      <c r="E374" s="48"/>
      <c r="F374" s="48"/>
      <c r="G374" s="48"/>
      <c r="H374" s="2"/>
      <c r="I374" s="48"/>
      <c r="J374" s="48"/>
      <c r="K374" s="48"/>
      <c r="L374" s="48"/>
      <c r="M374" s="48"/>
      <c r="N374" s="48"/>
    </row>
    <row r="375" spans="2:14" x14ac:dyDescent="0.2">
      <c r="B375" s="48"/>
      <c r="C375" s="48"/>
      <c r="D375" s="48"/>
      <c r="E375" s="48"/>
      <c r="F375" s="48"/>
      <c r="G375" s="48"/>
      <c r="H375" s="2"/>
      <c r="I375" s="48"/>
      <c r="J375" s="48"/>
      <c r="K375" s="48"/>
      <c r="L375" s="48"/>
      <c r="M375" s="48"/>
      <c r="N375" s="48"/>
    </row>
    <row r="376" spans="2:14" x14ac:dyDescent="0.2">
      <c r="B376" s="48"/>
      <c r="C376" s="48"/>
      <c r="D376" s="48"/>
      <c r="E376" s="48"/>
      <c r="F376" s="48"/>
      <c r="G376" s="48"/>
      <c r="H376" s="2"/>
      <c r="I376" s="48"/>
      <c r="J376" s="48"/>
      <c r="K376" s="48"/>
      <c r="L376" s="48"/>
      <c r="M376" s="48"/>
      <c r="N376" s="48"/>
    </row>
    <row r="377" spans="2:14" x14ac:dyDescent="0.2">
      <c r="B377" s="48"/>
      <c r="C377" s="48"/>
      <c r="D377" s="48"/>
      <c r="E377" s="48"/>
      <c r="F377" s="48"/>
      <c r="G377" s="48"/>
      <c r="H377" s="2"/>
      <c r="I377" s="48"/>
      <c r="J377" s="48"/>
      <c r="K377" s="48"/>
      <c r="L377" s="48"/>
      <c r="M377" s="48"/>
      <c r="N377" s="48"/>
    </row>
    <row r="378" spans="2:14" x14ac:dyDescent="0.2">
      <c r="B378" s="48"/>
      <c r="C378" s="48"/>
      <c r="D378" s="48"/>
      <c r="E378" s="48"/>
      <c r="F378" s="48"/>
      <c r="G378" s="48"/>
      <c r="H378" s="2"/>
      <c r="I378" s="48"/>
      <c r="J378" s="48"/>
      <c r="K378" s="48"/>
      <c r="L378" s="48"/>
      <c r="M378" s="48"/>
      <c r="N378" s="48"/>
    </row>
    <row r="379" spans="2:14" x14ac:dyDescent="0.2">
      <c r="B379" s="48"/>
      <c r="C379" s="48"/>
      <c r="D379" s="48"/>
      <c r="E379" s="48"/>
      <c r="F379" s="48"/>
      <c r="G379" s="48"/>
      <c r="H379" s="2"/>
      <c r="I379" s="48"/>
      <c r="J379" s="48"/>
      <c r="K379" s="48"/>
      <c r="L379" s="48"/>
      <c r="M379" s="48"/>
      <c r="N379" s="48"/>
    </row>
    <row r="381" spans="2:14" x14ac:dyDescent="0.2">
      <c r="B381" s="40" t="s">
        <v>69</v>
      </c>
      <c r="C381" s="41"/>
      <c r="D381" s="46" t="str">
        <f>K364</f>
        <v>12/8</v>
      </c>
      <c r="E381" s="44"/>
      <c r="F381" s="44"/>
      <c r="G381" s="41"/>
      <c r="H381" s="2"/>
      <c r="I381" s="40" t="s">
        <v>69</v>
      </c>
      <c r="J381" s="41"/>
      <c r="K381" s="46" t="str">
        <f>D381</f>
        <v>12/8</v>
      </c>
      <c r="L381" s="44"/>
      <c r="M381" s="44"/>
      <c r="N381" s="41"/>
    </row>
    <row r="382" spans="2:14" x14ac:dyDescent="0.2">
      <c r="B382" s="42"/>
      <c r="C382" s="43"/>
      <c r="D382" s="42"/>
      <c r="E382" s="45"/>
      <c r="F382" s="45"/>
      <c r="G382" s="43"/>
      <c r="H382" s="2"/>
      <c r="I382" s="42"/>
      <c r="J382" s="43"/>
      <c r="K382" s="42"/>
      <c r="L382" s="45"/>
      <c r="M382" s="45"/>
      <c r="N382" s="43"/>
    </row>
    <row r="383" spans="2:14" x14ac:dyDescent="0.2">
      <c r="B383" s="40" t="s">
        <v>25</v>
      </c>
      <c r="C383" s="41"/>
      <c r="D383" s="46" t="str">
        <f>K366</f>
        <v>DG</v>
      </c>
      <c r="E383" s="44"/>
      <c r="F383" s="44"/>
      <c r="G383" s="41"/>
      <c r="H383" s="2"/>
      <c r="I383" s="40" t="s">
        <v>25</v>
      </c>
      <c r="J383" s="41"/>
      <c r="K383" s="46" t="str">
        <f>D383</f>
        <v>DG</v>
      </c>
      <c r="L383" s="44"/>
      <c r="M383" s="44"/>
      <c r="N383" s="41"/>
    </row>
    <row r="384" spans="2:14" x14ac:dyDescent="0.2">
      <c r="B384" s="42"/>
      <c r="C384" s="43"/>
      <c r="D384" s="42"/>
      <c r="E384" s="45"/>
      <c r="F384" s="45"/>
      <c r="G384" s="43"/>
      <c r="H384" s="2"/>
      <c r="I384" s="42"/>
      <c r="J384" s="43"/>
      <c r="K384" s="42"/>
      <c r="L384" s="45"/>
      <c r="M384" s="45"/>
      <c r="N384" s="43"/>
    </row>
    <row r="385" spans="2:14" ht="14.25" customHeight="1" x14ac:dyDescent="0.2">
      <c r="B385" s="40" t="s">
        <v>28</v>
      </c>
      <c r="C385" s="41"/>
      <c r="D385" s="40">
        <f>+K368+1</f>
        <v>45</v>
      </c>
      <c r="E385" s="44"/>
      <c r="F385" s="44"/>
      <c r="G385" s="41"/>
      <c r="H385" s="2"/>
      <c r="I385" s="40" t="s">
        <v>28</v>
      </c>
      <c r="J385" s="41"/>
      <c r="K385" s="40">
        <f>+D385+1</f>
        <v>46</v>
      </c>
      <c r="L385" s="44"/>
      <c r="M385" s="44"/>
      <c r="N385" s="41"/>
    </row>
    <row r="386" spans="2:14" ht="14.25" customHeight="1" x14ac:dyDescent="0.2">
      <c r="B386" s="42"/>
      <c r="C386" s="43"/>
      <c r="D386" s="42"/>
      <c r="E386" s="45"/>
      <c r="F386" s="45"/>
      <c r="G386" s="43"/>
      <c r="H386" s="2"/>
      <c r="I386" s="42"/>
      <c r="J386" s="43"/>
      <c r="K386" s="42"/>
      <c r="L386" s="45"/>
      <c r="M386" s="45"/>
      <c r="N386" s="43"/>
    </row>
    <row r="387" spans="2:14" ht="11.25" customHeight="1" x14ac:dyDescent="0.2">
      <c r="B387" s="40" t="s">
        <v>29</v>
      </c>
      <c r="C387" s="41"/>
      <c r="D387" s="49" t="str">
        <f>_xlfn.CONCAT("*",B390,"*")</f>
        <v>*DG-45-12/8*</v>
      </c>
      <c r="E387" s="50"/>
      <c r="F387" s="50"/>
      <c r="G387" s="51"/>
      <c r="H387" s="2"/>
      <c r="I387" s="40" t="s">
        <v>29</v>
      </c>
      <c r="J387" s="41"/>
      <c r="K387" s="49" t="str">
        <f>_xlfn.CONCAT("*",I390,"*")</f>
        <v>*DG-46-12/8*</v>
      </c>
      <c r="L387" s="50"/>
      <c r="M387" s="50"/>
      <c r="N387" s="51"/>
    </row>
    <row r="388" spans="2:14" ht="11.25" customHeight="1" x14ac:dyDescent="0.2">
      <c r="B388" s="42"/>
      <c r="C388" s="43"/>
      <c r="D388" s="52"/>
      <c r="E388" s="53"/>
      <c r="F388" s="53"/>
      <c r="G388" s="54"/>
      <c r="H388" s="2"/>
      <c r="I388" s="42"/>
      <c r="J388" s="43"/>
      <c r="K388" s="52"/>
      <c r="L388" s="53"/>
      <c r="M388" s="53"/>
      <c r="N388" s="54"/>
    </row>
    <row r="389" spans="2:14" ht="13.5" x14ac:dyDescent="0.2">
      <c r="B389" s="47" t="s">
        <v>30</v>
      </c>
      <c r="C389" s="47"/>
      <c r="D389" s="47"/>
      <c r="E389" s="47"/>
      <c r="F389" s="47"/>
      <c r="G389" s="47"/>
      <c r="H389" s="2"/>
      <c r="I389" s="47" t="s">
        <v>30</v>
      </c>
      <c r="J389" s="47"/>
      <c r="K389" s="47"/>
      <c r="L389" s="47"/>
      <c r="M389" s="47"/>
      <c r="N389" s="47"/>
    </row>
    <row r="390" spans="2:14" x14ac:dyDescent="0.2">
      <c r="B390" s="48" t="str">
        <f>_xlfn.CONCAT(D383,"-",D385,"-",D381)</f>
        <v>DG-45-12/8</v>
      </c>
      <c r="C390" s="48"/>
      <c r="D390" s="48"/>
      <c r="E390" s="48"/>
      <c r="F390" s="48"/>
      <c r="G390" s="48"/>
      <c r="H390" s="2"/>
      <c r="I390" s="48" t="str">
        <f>_xlfn.CONCAT(K383,"-",K385,"-",K381)</f>
        <v>DG-46-12/8</v>
      </c>
      <c r="J390" s="48"/>
      <c r="K390" s="48"/>
      <c r="L390" s="48"/>
      <c r="M390" s="48"/>
      <c r="N390" s="48"/>
    </row>
    <row r="391" spans="2:14" x14ac:dyDescent="0.2">
      <c r="B391" s="48"/>
      <c r="C391" s="48"/>
      <c r="D391" s="48"/>
      <c r="E391" s="48"/>
      <c r="F391" s="48"/>
      <c r="G391" s="48"/>
      <c r="H391" s="2"/>
      <c r="I391" s="48"/>
      <c r="J391" s="48"/>
      <c r="K391" s="48"/>
      <c r="L391" s="48"/>
      <c r="M391" s="48"/>
      <c r="N391" s="48"/>
    </row>
    <row r="392" spans="2:14" x14ac:dyDescent="0.2">
      <c r="B392" s="48"/>
      <c r="C392" s="48"/>
      <c r="D392" s="48"/>
      <c r="E392" s="48"/>
      <c r="F392" s="48"/>
      <c r="G392" s="48"/>
      <c r="H392" s="2"/>
      <c r="I392" s="48"/>
      <c r="J392" s="48"/>
      <c r="K392" s="48"/>
      <c r="L392" s="48"/>
      <c r="M392" s="48"/>
      <c r="N392" s="48"/>
    </row>
    <row r="393" spans="2:14" x14ac:dyDescent="0.2">
      <c r="B393" s="48"/>
      <c r="C393" s="48"/>
      <c r="D393" s="48"/>
      <c r="E393" s="48"/>
      <c r="F393" s="48"/>
      <c r="G393" s="48"/>
      <c r="H393" s="2"/>
      <c r="I393" s="48"/>
      <c r="J393" s="48"/>
      <c r="K393" s="48"/>
      <c r="L393" s="48"/>
      <c r="M393" s="48"/>
      <c r="N393" s="48"/>
    </row>
    <row r="394" spans="2:14" x14ac:dyDescent="0.2">
      <c r="B394" s="48"/>
      <c r="C394" s="48"/>
      <c r="D394" s="48"/>
      <c r="E394" s="48"/>
      <c r="F394" s="48"/>
      <c r="G394" s="48"/>
      <c r="H394" s="2"/>
      <c r="I394" s="48"/>
      <c r="J394" s="48"/>
      <c r="K394" s="48"/>
      <c r="L394" s="48"/>
      <c r="M394" s="48"/>
      <c r="N394" s="48"/>
    </row>
    <row r="395" spans="2:14" x14ac:dyDescent="0.2">
      <c r="B395" s="48"/>
      <c r="C395" s="48"/>
      <c r="D395" s="48"/>
      <c r="E395" s="48"/>
      <c r="F395" s="48"/>
      <c r="G395" s="48"/>
      <c r="H395" s="2"/>
      <c r="I395" s="48"/>
      <c r="J395" s="48"/>
      <c r="K395" s="48"/>
      <c r="L395" s="48"/>
      <c r="M395" s="48"/>
      <c r="N395" s="48"/>
    </row>
    <row r="396" spans="2:14" x14ac:dyDescent="0.2">
      <c r="B396" s="48"/>
      <c r="C396" s="48"/>
      <c r="D396" s="48"/>
      <c r="E396" s="48"/>
      <c r="F396" s="48"/>
      <c r="G396" s="48"/>
      <c r="H396" s="2"/>
      <c r="I396" s="48"/>
      <c r="J396" s="48"/>
      <c r="K396" s="48"/>
      <c r="L396" s="48"/>
      <c r="M396" s="48"/>
      <c r="N396" s="48"/>
    </row>
    <row r="398" spans="2:14" x14ac:dyDescent="0.2">
      <c r="B398" s="40" t="s">
        <v>69</v>
      </c>
      <c r="C398" s="41"/>
      <c r="D398" s="46" t="str">
        <f>K381</f>
        <v>12/8</v>
      </c>
      <c r="E398" s="44"/>
      <c r="F398" s="44"/>
      <c r="G398" s="41"/>
      <c r="H398" s="2"/>
      <c r="I398" s="40" t="s">
        <v>16</v>
      </c>
      <c r="J398" s="41"/>
      <c r="K398" s="46" t="str">
        <f>D398</f>
        <v>12/8</v>
      </c>
      <c r="L398" s="44"/>
      <c r="M398" s="44"/>
      <c r="N398" s="41"/>
    </row>
    <row r="399" spans="2:14" x14ac:dyDescent="0.2">
      <c r="B399" s="42"/>
      <c r="C399" s="43"/>
      <c r="D399" s="42"/>
      <c r="E399" s="45"/>
      <c r="F399" s="45"/>
      <c r="G399" s="43"/>
      <c r="H399" s="2"/>
      <c r="I399" s="42"/>
      <c r="J399" s="43"/>
      <c r="K399" s="42"/>
      <c r="L399" s="45"/>
      <c r="M399" s="45"/>
      <c r="N399" s="43"/>
    </row>
    <row r="400" spans="2:14" x14ac:dyDescent="0.2">
      <c r="B400" s="40" t="s">
        <v>25</v>
      </c>
      <c r="C400" s="41"/>
      <c r="D400" s="46" t="str">
        <f>K383</f>
        <v>DG</v>
      </c>
      <c r="E400" s="44"/>
      <c r="F400" s="44"/>
      <c r="G400" s="41"/>
      <c r="H400" s="2"/>
      <c r="I400" s="40" t="s">
        <v>25</v>
      </c>
      <c r="J400" s="41"/>
      <c r="K400" s="46" t="str">
        <f>D400</f>
        <v>DG</v>
      </c>
      <c r="L400" s="44"/>
      <c r="M400" s="44"/>
      <c r="N400" s="41"/>
    </row>
    <row r="401" spans="2:14" x14ac:dyDescent="0.2">
      <c r="B401" s="42"/>
      <c r="C401" s="43"/>
      <c r="D401" s="42"/>
      <c r="E401" s="45"/>
      <c r="F401" s="45"/>
      <c r="G401" s="43"/>
      <c r="H401" s="2"/>
      <c r="I401" s="42"/>
      <c r="J401" s="43"/>
      <c r="K401" s="42"/>
      <c r="L401" s="45"/>
      <c r="M401" s="45"/>
      <c r="N401" s="43"/>
    </row>
    <row r="402" spans="2:14" ht="14.25" customHeight="1" x14ac:dyDescent="0.2">
      <c r="B402" s="40" t="s">
        <v>28</v>
      </c>
      <c r="C402" s="41"/>
      <c r="D402" s="40">
        <f>+K385+1</f>
        <v>47</v>
      </c>
      <c r="E402" s="44"/>
      <c r="F402" s="44"/>
      <c r="G402" s="41"/>
      <c r="H402" s="2"/>
      <c r="I402" s="40" t="s">
        <v>28</v>
      </c>
      <c r="J402" s="41"/>
      <c r="K402" s="40">
        <f>+D402+1</f>
        <v>48</v>
      </c>
      <c r="L402" s="44"/>
      <c r="M402" s="44"/>
      <c r="N402" s="41"/>
    </row>
    <row r="403" spans="2:14" ht="14.25" customHeight="1" x14ac:dyDescent="0.2">
      <c r="B403" s="42"/>
      <c r="C403" s="43"/>
      <c r="D403" s="42"/>
      <c r="E403" s="45"/>
      <c r="F403" s="45"/>
      <c r="G403" s="43"/>
      <c r="H403" s="2"/>
      <c r="I403" s="42"/>
      <c r="J403" s="43"/>
      <c r="K403" s="42"/>
      <c r="L403" s="45"/>
      <c r="M403" s="45"/>
      <c r="N403" s="43"/>
    </row>
    <row r="404" spans="2:14" ht="11.25" customHeight="1" x14ac:dyDescent="0.2">
      <c r="B404" s="40" t="s">
        <v>29</v>
      </c>
      <c r="C404" s="41"/>
      <c r="D404" s="49" t="str">
        <f>_xlfn.CONCAT("*",B407,"*")</f>
        <v>*DG-47-12/8*</v>
      </c>
      <c r="E404" s="50"/>
      <c r="F404" s="50"/>
      <c r="G404" s="51"/>
      <c r="H404" s="2"/>
      <c r="I404" s="40" t="s">
        <v>29</v>
      </c>
      <c r="J404" s="41"/>
      <c r="K404" s="49" t="str">
        <f>_xlfn.CONCAT("*",I407,"*")</f>
        <v>*DG-48-12/8*</v>
      </c>
      <c r="L404" s="50"/>
      <c r="M404" s="50"/>
      <c r="N404" s="51"/>
    </row>
    <row r="405" spans="2:14" ht="11.25" customHeight="1" x14ac:dyDescent="0.2">
      <c r="B405" s="42"/>
      <c r="C405" s="43"/>
      <c r="D405" s="52"/>
      <c r="E405" s="53"/>
      <c r="F405" s="53"/>
      <c r="G405" s="54"/>
      <c r="H405" s="2"/>
      <c r="I405" s="42"/>
      <c r="J405" s="43"/>
      <c r="K405" s="52"/>
      <c r="L405" s="53"/>
      <c r="M405" s="53"/>
      <c r="N405" s="54"/>
    </row>
    <row r="406" spans="2:14" ht="13.5" x14ac:dyDescent="0.2">
      <c r="B406" s="47" t="s">
        <v>30</v>
      </c>
      <c r="C406" s="47"/>
      <c r="D406" s="47"/>
      <c r="E406" s="47"/>
      <c r="F406" s="47"/>
      <c r="G406" s="47"/>
      <c r="H406" s="2"/>
      <c r="I406" s="47" t="s">
        <v>30</v>
      </c>
      <c r="J406" s="47"/>
      <c r="K406" s="47"/>
      <c r="L406" s="47"/>
      <c r="M406" s="47"/>
      <c r="N406" s="47"/>
    </row>
    <row r="407" spans="2:14" x14ac:dyDescent="0.2">
      <c r="B407" s="48" t="str">
        <f>_xlfn.CONCAT(D400,"-",D402,"-",D398)</f>
        <v>DG-47-12/8</v>
      </c>
      <c r="C407" s="48"/>
      <c r="D407" s="48"/>
      <c r="E407" s="48"/>
      <c r="F407" s="48"/>
      <c r="G407" s="48"/>
      <c r="H407" s="2"/>
      <c r="I407" s="48" t="str">
        <f>_xlfn.CONCAT(K400,"-",K402,"-",K398)</f>
        <v>DG-48-12/8</v>
      </c>
      <c r="J407" s="48"/>
      <c r="K407" s="48"/>
      <c r="L407" s="48"/>
      <c r="M407" s="48"/>
      <c r="N407" s="48"/>
    </row>
    <row r="408" spans="2:14" x14ac:dyDescent="0.2">
      <c r="B408" s="48"/>
      <c r="C408" s="48"/>
      <c r="D408" s="48"/>
      <c r="E408" s="48"/>
      <c r="F408" s="48"/>
      <c r="G408" s="48"/>
      <c r="H408" s="2"/>
      <c r="I408" s="48"/>
      <c r="J408" s="48"/>
      <c r="K408" s="48"/>
      <c r="L408" s="48"/>
      <c r="M408" s="48"/>
      <c r="N408" s="48"/>
    </row>
    <row r="409" spans="2:14" x14ac:dyDescent="0.2">
      <c r="B409" s="48"/>
      <c r="C409" s="48"/>
      <c r="D409" s="48"/>
      <c r="E409" s="48"/>
      <c r="F409" s="48"/>
      <c r="G409" s="48"/>
      <c r="H409" s="2"/>
      <c r="I409" s="48"/>
      <c r="J409" s="48"/>
      <c r="K409" s="48"/>
      <c r="L409" s="48"/>
      <c r="M409" s="48"/>
      <c r="N409" s="48"/>
    </row>
    <row r="410" spans="2:14" x14ac:dyDescent="0.2">
      <c r="B410" s="48"/>
      <c r="C410" s="48"/>
      <c r="D410" s="48"/>
      <c r="E410" s="48"/>
      <c r="F410" s="48"/>
      <c r="G410" s="48"/>
      <c r="H410" s="2"/>
      <c r="I410" s="48"/>
      <c r="J410" s="48"/>
      <c r="K410" s="48"/>
      <c r="L410" s="48"/>
      <c r="M410" s="48"/>
      <c r="N410" s="48"/>
    </row>
    <row r="411" spans="2:14" x14ac:dyDescent="0.2">
      <c r="B411" s="48"/>
      <c r="C411" s="48"/>
      <c r="D411" s="48"/>
      <c r="E411" s="48"/>
      <c r="F411" s="48"/>
      <c r="G411" s="48"/>
      <c r="H411" s="2"/>
      <c r="I411" s="48"/>
      <c r="J411" s="48"/>
      <c r="K411" s="48"/>
      <c r="L411" s="48"/>
      <c r="M411" s="48"/>
      <c r="N411" s="48"/>
    </row>
    <row r="412" spans="2:14" x14ac:dyDescent="0.2">
      <c r="B412" s="48"/>
      <c r="C412" s="48"/>
      <c r="D412" s="48"/>
      <c r="E412" s="48"/>
      <c r="F412" s="48"/>
      <c r="G412" s="48"/>
      <c r="H412" s="2"/>
      <c r="I412" s="48"/>
      <c r="J412" s="48"/>
      <c r="K412" s="48"/>
      <c r="L412" s="48"/>
      <c r="M412" s="48"/>
      <c r="N412" s="48"/>
    </row>
    <row r="413" spans="2:14" x14ac:dyDescent="0.2">
      <c r="B413" s="48"/>
      <c r="C413" s="48"/>
      <c r="D413" s="48"/>
      <c r="E413" s="48"/>
      <c r="F413" s="48"/>
      <c r="G413" s="48"/>
      <c r="H413" s="2"/>
      <c r="I413" s="48"/>
      <c r="J413" s="48"/>
      <c r="K413" s="48"/>
      <c r="L413" s="48"/>
      <c r="M413" s="48"/>
      <c r="N413" s="48"/>
    </row>
    <row r="415" spans="2:14" x14ac:dyDescent="0.2">
      <c r="B415" s="40" t="s">
        <v>16</v>
      </c>
      <c r="C415" s="41"/>
      <c r="D415" s="46" t="str">
        <f>K398</f>
        <v>12/8</v>
      </c>
      <c r="E415" s="44"/>
      <c r="F415" s="44"/>
      <c r="G415" s="41"/>
      <c r="H415" s="2"/>
      <c r="I415" s="40" t="s">
        <v>16</v>
      </c>
      <c r="J415" s="41"/>
      <c r="K415" s="46" t="str">
        <f>D415</f>
        <v>12/8</v>
      </c>
      <c r="L415" s="44"/>
      <c r="M415" s="44"/>
      <c r="N415" s="41"/>
    </row>
    <row r="416" spans="2:14" x14ac:dyDescent="0.2">
      <c r="B416" s="42"/>
      <c r="C416" s="43"/>
      <c r="D416" s="42"/>
      <c r="E416" s="45"/>
      <c r="F416" s="45"/>
      <c r="G416" s="43"/>
      <c r="H416" s="2"/>
      <c r="I416" s="42"/>
      <c r="J416" s="43"/>
      <c r="K416" s="42"/>
      <c r="L416" s="45"/>
      <c r="M416" s="45"/>
      <c r="N416" s="43"/>
    </row>
    <row r="417" spans="2:14" x14ac:dyDescent="0.2">
      <c r="B417" s="40" t="s">
        <v>25</v>
      </c>
      <c r="C417" s="41"/>
      <c r="D417" s="46" t="str">
        <f>K400</f>
        <v>DG</v>
      </c>
      <c r="E417" s="44"/>
      <c r="F417" s="44"/>
      <c r="G417" s="41"/>
      <c r="H417" s="2"/>
      <c r="I417" s="40" t="s">
        <v>25</v>
      </c>
      <c r="J417" s="41"/>
      <c r="K417" s="46" t="str">
        <f>D417</f>
        <v>DG</v>
      </c>
      <c r="L417" s="44"/>
      <c r="M417" s="44"/>
      <c r="N417" s="41"/>
    </row>
    <row r="418" spans="2:14" x14ac:dyDescent="0.2">
      <c r="B418" s="42"/>
      <c r="C418" s="43"/>
      <c r="D418" s="42"/>
      <c r="E418" s="45"/>
      <c r="F418" s="45"/>
      <c r="G418" s="43"/>
      <c r="H418" s="2"/>
      <c r="I418" s="42"/>
      <c r="J418" s="43"/>
      <c r="K418" s="42"/>
      <c r="L418" s="45"/>
      <c r="M418" s="45"/>
      <c r="N418" s="43"/>
    </row>
    <row r="419" spans="2:14" ht="14.25" customHeight="1" x14ac:dyDescent="0.2">
      <c r="B419" s="40" t="s">
        <v>28</v>
      </c>
      <c r="C419" s="41"/>
      <c r="D419" s="40">
        <f>+K402+1</f>
        <v>49</v>
      </c>
      <c r="E419" s="44"/>
      <c r="F419" s="44"/>
      <c r="G419" s="41"/>
      <c r="H419" s="2"/>
      <c r="I419" s="40" t="s">
        <v>28</v>
      </c>
      <c r="J419" s="41"/>
      <c r="K419" s="40">
        <f>+D419+1</f>
        <v>50</v>
      </c>
      <c r="L419" s="44"/>
      <c r="M419" s="44"/>
      <c r="N419" s="41"/>
    </row>
    <row r="420" spans="2:14" ht="14.25" customHeight="1" x14ac:dyDescent="0.2">
      <c r="B420" s="42"/>
      <c r="C420" s="43"/>
      <c r="D420" s="42"/>
      <c r="E420" s="45"/>
      <c r="F420" s="45"/>
      <c r="G420" s="43"/>
      <c r="H420" s="2"/>
      <c r="I420" s="42"/>
      <c r="J420" s="43"/>
      <c r="K420" s="42"/>
      <c r="L420" s="45"/>
      <c r="M420" s="45"/>
      <c r="N420" s="43"/>
    </row>
    <row r="421" spans="2:14" ht="11.25" customHeight="1" x14ac:dyDescent="0.2">
      <c r="B421" s="40" t="s">
        <v>29</v>
      </c>
      <c r="C421" s="41"/>
      <c r="D421" s="49" t="str">
        <f>_xlfn.CONCAT("*",B424,"*")</f>
        <v>*DG-49-12/8*</v>
      </c>
      <c r="E421" s="50"/>
      <c r="F421" s="50"/>
      <c r="G421" s="51"/>
      <c r="H421" s="2"/>
      <c r="I421" s="40" t="s">
        <v>29</v>
      </c>
      <c r="J421" s="41"/>
      <c r="K421" s="49" t="str">
        <f>_xlfn.CONCAT("*",I424,"*")</f>
        <v>*DG-50-12/8*</v>
      </c>
      <c r="L421" s="50"/>
      <c r="M421" s="50"/>
      <c r="N421" s="51"/>
    </row>
    <row r="422" spans="2:14" ht="11.25" customHeight="1" x14ac:dyDescent="0.2">
      <c r="B422" s="42"/>
      <c r="C422" s="43"/>
      <c r="D422" s="52"/>
      <c r="E422" s="53"/>
      <c r="F422" s="53"/>
      <c r="G422" s="54"/>
      <c r="H422" s="2"/>
      <c r="I422" s="42"/>
      <c r="J422" s="43"/>
      <c r="K422" s="52"/>
      <c r="L422" s="53"/>
      <c r="M422" s="53"/>
      <c r="N422" s="54"/>
    </row>
    <row r="423" spans="2:14" ht="13.5" x14ac:dyDescent="0.2">
      <c r="B423" s="47" t="s">
        <v>30</v>
      </c>
      <c r="C423" s="47"/>
      <c r="D423" s="47"/>
      <c r="E423" s="47"/>
      <c r="F423" s="47"/>
      <c r="G423" s="47"/>
      <c r="H423" s="2"/>
      <c r="I423" s="47" t="s">
        <v>30</v>
      </c>
      <c r="J423" s="47"/>
      <c r="K423" s="47"/>
      <c r="L423" s="47"/>
      <c r="M423" s="47"/>
      <c r="N423" s="47"/>
    </row>
    <row r="424" spans="2:14" x14ac:dyDescent="0.2">
      <c r="B424" s="48" t="str">
        <f>_xlfn.CONCAT(D417,"-",D419,"-",D415)</f>
        <v>DG-49-12/8</v>
      </c>
      <c r="C424" s="48"/>
      <c r="D424" s="48"/>
      <c r="E424" s="48"/>
      <c r="F424" s="48"/>
      <c r="G424" s="48"/>
      <c r="H424" s="2"/>
      <c r="I424" s="48" t="str">
        <f>_xlfn.CONCAT(K417,"-",K419,"-",K415)</f>
        <v>DG-50-12/8</v>
      </c>
      <c r="J424" s="48"/>
      <c r="K424" s="48"/>
      <c r="L424" s="48"/>
      <c r="M424" s="48"/>
      <c r="N424" s="48"/>
    </row>
    <row r="425" spans="2:14" x14ac:dyDescent="0.2">
      <c r="B425" s="48"/>
      <c r="C425" s="48"/>
      <c r="D425" s="48"/>
      <c r="E425" s="48"/>
      <c r="F425" s="48"/>
      <c r="G425" s="48"/>
      <c r="H425" s="2"/>
      <c r="I425" s="48"/>
      <c r="J425" s="48"/>
      <c r="K425" s="48"/>
      <c r="L425" s="48"/>
      <c r="M425" s="48"/>
      <c r="N425" s="48"/>
    </row>
    <row r="426" spans="2:14" x14ac:dyDescent="0.2">
      <c r="B426" s="48"/>
      <c r="C426" s="48"/>
      <c r="D426" s="48"/>
      <c r="E426" s="48"/>
      <c r="F426" s="48"/>
      <c r="G426" s="48"/>
      <c r="H426" s="2"/>
      <c r="I426" s="48"/>
      <c r="J426" s="48"/>
      <c r="K426" s="48"/>
      <c r="L426" s="48"/>
      <c r="M426" s="48"/>
      <c r="N426" s="48"/>
    </row>
    <row r="427" spans="2:14" x14ac:dyDescent="0.2">
      <c r="B427" s="48"/>
      <c r="C427" s="48"/>
      <c r="D427" s="48"/>
      <c r="E427" s="48"/>
      <c r="F427" s="48"/>
      <c r="G427" s="48"/>
      <c r="H427" s="2"/>
      <c r="I427" s="48"/>
      <c r="J427" s="48"/>
      <c r="K427" s="48"/>
      <c r="L427" s="48"/>
      <c r="M427" s="48"/>
      <c r="N427" s="48"/>
    </row>
    <row r="428" spans="2:14" x14ac:dyDescent="0.2">
      <c r="B428" s="48"/>
      <c r="C428" s="48"/>
      <c r="D428" s="48"/>
      <c r="E428" s="48"/>
      <c r="F428" s="48"/>
      <c r="G428" s="48"/>
      <c r="H428" s="2"/>
      <c r="I428" s="48"/>
      <c r="J428" s="48"/>
      <c r="K428" s="48"/>
      <c r="L428" s="48"/>
      <c r="M428" s="48"/>
      <c r="N428" s="48"/>
    </row>
    <row r="429" spans="2:14" x14ac:dyDescent="0.2">
      <c r="B429" s="48"/>
      <c r="C429" s="48"/>
      <c r="D429" s="48"/>
      <c r="E429" s="48"/>
      <c r="F429" s="48"/>
      <c r="G429" s="48"/>
      <c r="H429" s="2"/>
      <c r="I429" s="48"/>
      <c r="J429" s="48"/>
      <c r="K429" s="48"/>
      <c r="L429" s="48"/>
      <c r="M429" s="48"/>
      <c r="N429" s="48"/>
    </row>
    <row r="430" spans="2:14" x14ac:dyDescent="0.2">
      <c r="B430" s="48"/>
      <c r="C430" s="48"/>
      <c r="D430" s="48"/>
      <c r="E430" s="48"/>
      <c r="F430" s="48"/>
      <c r="G430" s="48"/>
      <c r="H430" s="2"/>
      <c r="I430" s="48"/>
      <c r="J430" s="48"/>
      <c r="K430" s="48"/>
      <c r="L430" s="48"/>
      <c r="M430" s="48"/>
      <c r="N430" s="48"/>
    </row>
  </sheetData>
  <mergeCells count="500">
    <mergeCell ref="B11:C12"/>
    <mergeCell ref="D11:G12"/>
    <mergeCell ref="I11:J12"/>
    <mergeCell ref="K11:N12"/>
    <mergeCell ref="B13:C14"/>
    <mergeCell ref="D13:G14"/>
    <mergeCell ref="I13:J14"/>
    <mergeCell ref="K13:N14"/>
    <mergeCell ref="B7:C8"/>
    <mergeCell ref="D7:G8"/>
    <mergeCell ref="I7:J8"/>
    <mergeCell ref="K7:N8"/>
    <mergeCell ref="B9:C10"/>
    <mergeCell ref="D9:G10"/>
    <mergeCell ref="I9:J10"/>
    <mergeCell ref="K9:N10"/>
    <mergeCell ref="B26:C27"/>
    <mergeCell ref="D26:G27"/>
    <mergeCell ref="I26:J27"/>
    <mergeCell ref="K26:N27"/>
    <mergeCell ref="B28:C29"/>
    <mergeCell ref="D28:G29"/>
    <mergeCell ref="I28:J29"/>
    <mergeCell ref="K28:N29"/>
    <mergeCell ref="B15:G15"/>
    <mergeCell ref="I15:N15"/>
    <mergeCell ref="B16:G22"/>
    <mergeCell ref="I16:N22"/>
    <mergeCell ref="B24:C25"/>
    <mergeCell ref="D24:G25"/>
    <mergeCell ref="I24:J25"/>
    <mergeCell ref="K24:N25"/>
    <mergeCell ref="B33:G39"/>
    <mergeCell ref="I33:N39"/>
    <mergeCell ref="B41:C42"/>
    <mergeCell ref="D41:G42"/>
    <mergeCell ref="I41:J42"/>
    <mergeCell ref="K41:N42"/>
    <mergeCell ref="B30:C31"/>
    <mergeCell ref="D30:G31"/>
    <mergeCell ref="I30:J31"/>
    <mergeCell ref="K30:N31"/>
    <mergeCell ref="B32:G32"/>
    <mergeCell ref="I32:N32"/>
    <mergeCell ref="B47:C48"/>
    <mergeCell ref="D47:G48"/>
    <mergeCell ref="I47:J48"/>
    <mergeCell ref="K47:N48"/>
    <mergeCell ref="B49:G49"/>
    <mergeCell ref="I49:N49"/>
    <mergeCell ref="B43:C44"/>
    <mergeCell ref="D43:G44"/>
    <mergeCell ref="I43:J44"/>
    <mergeCell ref="K43:N44"/>
    <mergeCell ref="B45:C46"/>
    <mergeCell ref="D45:G46"/>
    <mergeCell ref="I45:J46"/>
    <mergeCell ref="K45:N46"/>
    <mergeCell ref="B60:C61"/>
    <mergeCell ref="D60:G61"/>
    <mergeCell ref="I60:J61"/>
    <mergeCell ref="K60:N61"/>
    <mergeCell ref="B62:C63"/>
    <mergeCell ref="D62:G63"/>
    <mergeCell ref="I62:J63"/>
    <mergeCell ref="K62:N63"/>
    <mergeCell ref="B50:G56"/>
    <mergeCell ref="I50:N56"/>
    <mergeCell ref="B58:C59"/>
    <mergeCell ref="D58:G59"/>
    <mergeCell ref="I58:J59"/>
    <mergeCell ref="K58:N59"/>
    <mergeCell ref="B67:G73"/>
    <mergeCell ref="I67:N73"/>
    <mergeCell ref="B75:C76"/>
    <mergeCell ref="D75:G76"/>
    <mergeCell ref="I75:J76"/>
    <mergeCell ref="K75:N76"/>
    <mergeCell ref="B64:C65"/>
    <mergeCell ref="D64:G65"/>
    <mergeCell ref="I64:J65"/>
    <mergeCell ref="K64:N65"/>
    <mergeCell ref="B66:G66"/>
    <mergeCell ref="I66:N66"/>
    <mergeCell ref="B81:C82"/>
    <mergeCell ref="D81:G82"/>
    <mergeCell ref="I81:J82"/>
    <mergeCell ref="K81:N82"/>
    <mergeCell ref="B83:G83"/>
    <mergeCell ref="I83:N83"/>
    <mergeCell ref="B77:C78"/>
    <mergeCell ref="D77:G78"/>
    <mergeCell ref="I77:J78"/>
    <mergeCell ref="K77:N78"/>
    <mergeCell ref="B79:C80"/>
    <mergeCell ref="D79:G80"/>
    <mergeCell ref="I79:J80"/>
    <mergeCell ref="K79:N80"/>
    <mergeCell ref="B94:C95"/>
    <mergeCell ref="D94:G95"/>
    <mergeCell ref="I94:J95"/>
    <mergeCell ref="K94:N95"/>
    <mergeCell ref="B96:C97"/>
    <mergeCell ref="D96:G97"/>
    <mergeCell ref="I96:J97"/>
    <mergeCell ref="K96:N97"/>
    <mergeCell ref="B84:G90"/>
    <mergeCell ref="I84:N90"/>
    <mergeCell ref="B92:C93"/>
    <mergeCell ref="D92:G93"/>
    <mergeCell ref="I92:J93"/>
    <mergeCell ref="K92:N93"/>
    <mergeCell ref="B101:G107"/>
    <mergeCell ref="I101:N107"/>
    <mergeCell ref="B109:C110"/>
    <mergeCell ref="D109:G110"/>
    <mergeCell ref="I109:J110"/>
    <mergeCell ref="K109:N110"/>
    <mergeCell ref="B98:C99"/>
    <mergeCell ref="D98:G99"/>
    <mergeCell ref="I98:J99"/>
    <mergeCell ref="K98:N99"/>
    <mergeCell ref="B100:G100"/>
    <mergeCell ref="I100:N100"/>
    <mergeCell ref="B115:C116"/>
    <mergeCell ref="D115:G116"/>
    <mergeCell ref="I115:J116"/>
    <mergeCell ref="K115:N116"/>
    <mergeCell ref="B117:G117"/>
    <mergeCell ref="I117:N117"/>
    <mergeCell ref="B111:C112"/>
    <mergeCell ref="D111:G112"/>
    <mergeCell ref="I111:J112"/>
    <mergeCell ref="K111:N112"/>
    <mergeCell ref="B113:C114"/>
    <mergeCell ref="D113:G114"/>
    <mergeCell ref="I113:J114"/>
    <mergeCell ref="K113:N114"/>
    <mergeCell ref="B128:C129"/>
    <mergeCell ref="D128:G129"/>
    <mergeCell ref="I128:J129"/>
    <mergeCell ref="K128:N129"/>
    <mergeCell ref="B130:C131"/>
    <mergeCell ref="D130:G131"/>
    <mergeCell ref="I130:J131"/>
    <mergeCell ref="K130:N131"/>
    <mergeCell ref="B118:G124"/>
    <mergeCell ref="I118:N124"/>
    <mergeCell ref="B126:C127"/>
    <mergeCell ref="D126:G127"/>
    <mergeCell ref="I126:J127"/>
    <mergeCell ref="K126:N127"/>
    <mergeCell ref="B135:G141"/>
    <mergeCell ref="I135:N141"/>
    <mergeCell ref="B143:C144"/>
    <mergeCell ref="D143:G144"/>
    <mergeCell ref="I143:J144"/>
    <mergeCell ref="K143:N144"/>
    <mergeCell ref="B132:C133"/>
    <mergeCell ref="D132:G133"/>
    <mergeCell ref="I132:J133"/>
    <mergeCell ref="K132:N133"/>
    <mergeCell ref="B134:G134"/>
    <mergeCell ref="I134:N134"/>
    <mergeCell ref="B149:C150"/>
    <mergeCell ref="D149:G150"/>
    <mergeCell ref="I149:J150"/>
    <mergeCell ref="K149:N150"/>
    <mergeCell ref="B151:G151"/>
    <mergeCell ref="I151:N151"/>
    <mergeCell ref="B145:C146"/>
    <mergeCell ref="D145:G146"/>
    <mergeCell ref="I145:J146"/>
    <mergeCell ref="K145:N146"/>
    <mergeCell ref="B147:C148"/>
    <mergeCell ref="D147:G148"/>
    <mergeCell ref="I147:J148"/>
    <mergeCell ref="K147:N148"/>
    <mergeCell ref="B162:C163"/>
    <mergeCell ref="D162:G163"/>
    <mergeCell ref="I162:J163"/>
    <mergeCell ref="K162:N163"/>
    <mergeCell ref="B164:C165"/>
    <mergeCell ref="D164:G165"/>
    <mergeCell ref="I164:J165"/>
    <mergeCell ref="K164:N165"/>
    <mergeCell ref="B152:G158"/>
    <mergeCell ref="I152:N158"/>
    <mergeCell ref="B160:C161"/>
    <mergeCell ref="D160:G161"/>
    <mergeCell ref="I160:J161"/>
    <mergeCell ref="K160:N161"/>
    <mergeCell ref="B169:G175"/>
    <mergeCell ref="I169:N175"/>
    <mergeCell ref="B177:C178"/>
    <mergeCell ref="D177:G178"/>
    <mergeCell ref="I177:J178"/>
    <mergeCell ref="K177:N178"/>
    <mergeCell ref="B166:C167"/>
    <mergeCell ref="D166:G167"/>
    <mergeCell ref="I166:J167"/>
    <mergeCell ref="K166:N167"/>
    <mergeCell ref="B168:G168"/>
    <mergeCell ref="I168:N168"/>
    <mergeCell ref="B183:C184"/>
    <mergeCell ref="D183:G184"/>
    <mergeCell ref="I183:J184"/>
    <mergeCell ref="K183:N184"/>
    <mergeCell ref="B185:G185"/>
    <mergeCell ref="I185:N185"/>
    <mergeCell ref="B179:C180"/>
    <mergeCell ref="D179:G180"/>
    <mergeCell ref="I179:J180"/>
    <mergeCell ref="K179:N180"/>
    <mergeCell ref="B181:C182"/>
    <mergeCell ref="D181:G182"/>
    <mergeCell ref="I181:J182"/>
    <mergeCell ref="K181:N182"/>
    <mergeCell ref="B196:C197"/>
    <mergeCell ref="D196:G197"/>
    <mergeCell ref="I196:J197"/>
    <mergeCell ref="K196:N197"/>
    <mergeCell ref="B198:C199"/>
    <mergeCell ref="D198:G199"/>
    <mergeCell ref="I198:J199"/>
    <mergeCell ref="K198:N199"/>
    <mergeCell ref="B186:G192"/>
    <mergeCell ref="I186:N192"/>
    <mergeCell ref="B194:C195"/>
    <mergeCell ref="D194:G195"/>
    <mergeCell ref="I194:J195"/>
    <mergeCell ref="K194:N195"/>
    <mergeCell ref="B203:G209"/>
    <mergeCell ref="I203:N209"/>
    <mergeCell ref="B211:C212"/>
    <mergeCell ref="D211:G212"/>
    <mergeCell ref="I211:J212"/>
    <mergeCell ref="K211:N212"/>
    <mergeCell ref="B200:C201"/>
    <mergeCell ref="D200:G201"/>
    <mergeCell ref="I200:J201"/>
    <mergeCell ref="K200:N201"/>
    <mergeCell ref="B202:G202"/>
    <mergeCell ref="I202:N202"/>
    <mergeCell ref="B217:C218"/>
    <mergeCell ref="D217:G218"/>
    <mergeCell ref="I217:J218"/>
    <mergeCell ref="K217:N218"/>
    <mergeCell ref="B219:G219"/>
    <mergeCell ref="I219:N219"/>
    <mergeCell ref="B213:C214"/>
    <mergeCell ref="D213:G214"/>
    <mergeCell ref="I213:J214"/>
    <mergeCell ref="K213:N214"/>
    <mergeCell ref="B215:C216"/>
    <mergeCell ref="D215:G216"/>
    <mergeCell ref="I215:J216"/>
    <mergeCell ref="K215:N216"/>
    <mergeCell ref="B230:C231"/>
    <mergeCell ref="D230:G231"/>
    <mergeCell ref="I230:J231"/>
    <mergeCell ref="K230:N231"/>
    <mergeCell ref="B232:C233"/>
    <mergeCell ref="D232:G233"/>
    <mergeCell ref="I232:J233"/>
    <mergeCell ref="K232:N233"/>
    <mergeCell ref="B220:G226"/>
    <mergeCell ref="I220:N226"/>
    <mergeCell ref="B228:C229"/>
    <mergeCell ref="D228:G229"/>
    <mergeCell ref="I228:J229"/>
    <mergeCell ref="K228:N229"/>
    <mergeCell ref="B237:G243"/>
    <mergeCell ref="I237:N243"/>
    <mergeCell ref="B245:C246"/>
    <mergeCell ref="D245:G246"/>
    <mergeCell ref="I245:J246"/>
    <mergeCell ref="K245:N246"/>
    <mergeCell ref="B234:C235"/>
    <mergeCell ref="D234:G235"/>
    <mergeCell ref="I234:J235"/>
    <mergeCell ref="K234:N235"/>
    <mergeCell ref="B236:G236"/>
    <mergeCell ref="I236:N236"/>
    <mergeCell ref="B251:C252"/>
    <mergeCell ref="D251:G252"/>
    <mergeCell ref="I251:J252"/>
    <mergeCell ref="K251:N252"/>
    <mergeCell ref="B253:G253"/>
    <mergeCell ref="I253:N253"/>
    <mergeCell ref="B247:C248"/>
    <mergeCell ref="D247:G248"/>
    <mergeCell ref="I247:J248"/>
    <mergeCell ref="K247:N248"/>
    <mergeCell ref="B249:C250"/>
    <mergeCell ref="D249:G250"/>
    <mergeCell ref="I249:J250"/>
    <mergeCell ref="K249:N250"/>
    <mergeCell ref="B264:C265"/>
    <mergeCell ref="D264:G265"/>
    <mergeCell ref="I264:J265"/>
    <mergeCell ref="K264:N265"/>
    <mergeCell ref="B266:C267"/>
    <mergeCell ref="D266:G267"/>
    <mergeCell ref="I266:J267"/>
    <mergeCell ref="K266:N267"/>
    <mergeCell ref="B254:G260"/>
    <mergeCell ref="I254:N260"/>
    <mergeCell ref="B262:C263"/>
    <mergeCell ref="D262:G263"/>
    <mergeCell ref="I262:J263"/>
    <mergeCell ref="K262:N263"/>
    <mergeCell ref="B271:G277"/>
    <mergeCell ref="I271:N277"/>
    <mergeCell ref="B279:C280"/>
    <mergeCell ref="D279:G280"/>
    <mergeCell ref="I279:J280"/>
    <mergeCell ref="K279:N280"/>
    <mergeCell ref="B268:C269"/>
    <mergeCell ref="D268:G269"/>
    <mergeCell ref="I268:J269"/>
    <mergeCell ref="K268:N269"/>
    <mergeCell ref="B270:G270"/>
    <mergeCell ref="I270:N270"/>
    <mergeCell ref="B285:C286"/>
    <mergeCell ref="D285:G286"/>
    <mergeCell ref="I285:J286"/>
    <mergeCell ref="K285:N286"/>
    <mergeCell ref="B287:G287"/>
    <mergeCell ref="I287:N287"/>
    <mergeCell ref="B281:C282"/>
    <mergeCell ref="D281:G282"/>
    <mergeCell ref="I281:J282"/>
    <mergeCell ref="K281:N282"/>
    <mergeCell ref="B283:C284"/>
    <mergeCell ref="D283:G284"/>
    <mergeCell ref="I283:J284"/>
    <mergeCell ref="K283:N284"/>
    <mergeCell ref="B298:C299"/>
    <mergeCell ref="D298:G299"/>
    <mergeCell ref="I298:J299"/>
    <mergeCell ref="K298:N299"/>
    <mergeCell ref="B300:C301"/>
    <mergeCell ref="D300:G301"/>
    <mergeCell ref="I300:J301"/>
    <mergeCell ref="K300:N301"/>
    <mergeCell ref="B288:G294"/>
    <mergeCell ref="I288:N294"/>
    <mergeCell ref="B296:C297"/>
    <mergeCell ref="D296:G297"/>
    <mergeCell ref="I296:J297"/>
    <mergeCell ref="K296:N297"/>
    <mergeCell ref="B305:G311"/>
    <mergeCell ref="I305:N311"/>
    <mergeCell ref="B313:C314"/>
    <mergeCell ref="D313:G314"/>
    <mergeCell ref="I313:J314"/>
    <mergeCell ref="K313:N314"/>
    <mergeCell ref="B302:C303"/>
    <mergeCell ref="D302:G303"/>
    <mergeCell ref="I302:J303"/>
    <mergeCell ref="K302:N303"/>
    <mergeCell ref="B304:G304"/>
    <mergeCell ref="I304:N304"/>
    <mergeCell ref="B319:C320"/>
    <mergeCell ref="D319:G320"/>
    <mergeCell ref="I319:J320"/>
    <mergeCell ref="K319:N320"/>
    <mergeCell ref="B321:G321"/>
    <mergeCell ref="I321:N321"/>
    <mergeCell ref="B315:C316"/>
    <mergeCell ref="D315:G316"/>
    <mergeCell ref="I315:J316"/>
    <mergeCell ref="K315:N316"/>
    <mergeCell ref="B317:C318"/>
    <mergeCell ref="D317:G318"/>
    <mergeCell ref="I317:J318"/>
    <mergeCell ref="K317:N318"/>
    <mergeCell ref="B332:C333"/>
    <mergeCell ref="D332:G333"/>
    <mergeCell ref="I332:J333"/>
    <mergeCell ref="K332:N333"/>
    <mergeCell ref="B334:C335"/>
    <mergeCell ref="D334:G335"/>
    <mergeCell ref="I334:J335"/>
    <mergeCell ref="K334:N335"/>
    <mergeCell ref="B322:G328"/>
    <mergeCell ref="I322:N328"/>
    <mergeCell ref="B330:C331"/>
    <mergeCell ref="D330:G331"/>
    <mergeCell ref="I330:J331"/>
    <mergeCell ref="K330:N331"/>
    <mergeCell ref="B339:G345"/>
    <mergeCell ref="I339:N345"/>
    <mergeCell ref="B347:C348"/>
    <mergeCell ref="D347:G348"/>
    <mergeCell ref="I347:J348"/>
    <mergeCell ref="K347:N348"/>
    <mergeCell ref="B336:C337"/>
    <mergeCell ref="D336:G337"/>
    <mergeCell ref="I336:J337"/>
    <mergeCell ref="K336:N337"/>
    <mergeCell ref="B338:G338"/>
    <mergeCell ref="I338:N338"/>
    <mergeCell ref="B353:C354"/>
    <mergeCell ref="D353:G354"/>
    <mergeCell ref="I353:J354"/>
    <mergeCell ref="K353:N354"/>
    <mergeCell ref="B355:G355"/>
    <mergeCell ref="I355:N355"/>
    <mergeCell ref="B349:C350"/>
    <mergeCell ref="D349:G350"/>
    <mergeCell ref="I349:J350"/>
    <mergeCell ref="K349:N350"/>
    <mergeCell ref="B351:C352"/>
    <mergeCell ref="D351:G352"/>
    <mergeCell ref="I351:J352"/>
    <mergeCell ref="K351:N352"/>
    <mergeCell ref="B366:C367"/>
    <mergeCell ref="D366:G367"/>
    <mergeCell ref="I366:J367"/>
    <mergeCell ref="K366:N367"/>
    <mergeCell ref="B368:C369"/>
    <mergeCell ref="D368:G369"/>
    <mergeCell ref="I368:J369"/>
    <mergeCell ref="K368:N369"/>
    <mergeCell ref="B356:G362"/>
    <mergeCell ref="I356:N362"/>
    <mergeCell ref="B364:C365"/>
    <mergeCell ref="D364:G365"/>
    <mergeCell ref="I364:J365"/>
    <mergeCell ref="K364:N365"/>
    <mergeCell ref="B373:G379"/>
    <mergeCell ref="I373:N379"/>
    <mergeCell ref="B381:C382"/>
    <mergeCell ref="D381:G382"/>
    <mergeCell ref="I381:J382"/>
    <mergeCell ref="K381:N382"/>
    <mergeCell ref="B370:C371"/>
    <mergeCell ref="D370:G371"/>
    <mergeCell ref="I370:J371"/>
    <mergeCell ref="K370:N371"/>
    <mergeCell ref="B372:G372"/>
    <mergeCell ref="I372:N372"/>
    <mergeCell ref="B387:C388"/>
    <mergeCell ref="D387:G388"/>
    <mergeCell ref="I387:J388"/>
    <mergeCell ref="K387:N388"/>
    <mergeCell ref="B389:G389"/>
    <mergeCell ref="I389:N389"/>
    <mergeCell ref="B383:C384"/>
    <mergeCell ref="D383:G384"/>
    <mergeCell ref="I383:J384"/>
    <mergeCell ref="K383:N384"/>
    <mergeCell ref="B385:C386"/>
    <mergeCell ref="D385:G386"/>
    <mergeCell ref="I385:J386"/>
    <mergeCell ref="K385:N386"/>
    <mergeCell ref="B400:C401"/>
    <mergeCell ref="D400:G401"/>
    <mergeCell ref="I400:J401"/>
    <mergeCell ref="K400:N401"/>
    <mergeCell ref="B402:C403"/>
    <mergeCell ref="D402:G403"/>
    <mergeCell ref="I402:J403"/>
    <mergeCell ref="K402:N403"/>
    <mergeCell ref="B390:G396"/>
    <mergeCell ref="I390:N396"/>
    <mergeCell ref="B398:C399"/>
    <mergeCell ref="D398:G399"/>
    <mergeCell ref="I398:J399"/>
    <mergeCell ref="K398:N399"/>
    <mergeCell ref="B407:G413"/>
    <mergeCell ref="I407:N413"/>
    <mergeCell ref="B415:C416"/>
    <mergeCell ref="D415:G416"/>
    <mergeCell ref="I415:J416"/>
    <mergeCell ref="K415:N416"/>
    <mergeCell ref="B404:C405"/>
    <mergeCell ref="D404:G405"/>
    <mergeCell ref="I404:J405"/>
    <mergeCell ref="K404:N405"/>
    <mergeCell ref="B406:G406"/>
    <mergeCell ref="I406:N406"/>
    <mergeCell ref="B424:G430"/>
    <mergeCell ref="I424:N430"/>
    <mergeCell ref="B421:C422"/>
    <mergeCell ref="D421:G422"/>
    <mergeCell ref="I421:J422"/>
    <mergeCell ref="K421:N422"/>
    <mergeCell ref="B423:G423"/>
    <mergeCell ref="I423:N423"/>
    <mergeCell ref="B417:C418"/>
    <mergeCell ref="D417:G418"/>
    <mergeCell ref="I417:J418"/>
    <mergeCell ref="K417:N418"/>
    <mergeCell ref="B419:C420"/>
    <mergeCell ref="D419:G420"/>
    <mergeCell ref="I419:J420"/>
    <mergeCell ref="K419:N420"/>
  </mergeCells>
  <dataValidations disablePrompts="1" count="1">
    <dataValidation type="list" allowBlank="1" showInputMessage="1" showErrorMessage="1" sqref="Q5" xr:uid="{763F0DDD-E6BE-42D9-B428-CAF3D9BFE7E1}">
      <formula1>$S$6:$S$10</formula1>
    </dataValidation>
  </dataValidations>
  <pageMargins left="0.34" right="0.23622047244094491" top="0.56999999999999995" bottom="0.38" header="0.31496062992125984" footer="0.31496062992125984"/>
  <pageSetup scale="119" orientation="landscape" horizontalDpi="300" verticalDpi="300" r:id="rId1"/>
  <rowBreaks count="7" manualBreakCount="7">
    <brk id="56" min="1" max="13" man="1"/>
    <brk id="159" min="1" max="13" man="1"/>
    <brk id="210" min="1" max="13" man="1"/>
    <brk id="261" min="1" max="13" man="1"/>
    <brk id="312" min="1" max="13" man="1"/>
    <brk id="363" min="1" max="13" man="1"/>
    <brk id="414" min="1" max="13" man="1"/>
  </rowBreaks>
  <colBreaks count="1" manualBreakCount="1">
    <brk id="7" min="5" max="430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BCA15-0A59-4C54-BD2E-914F05B19D81}">
  <dimension ref="A1"/>
  <sheetViews>
    <sheetView workbookViewId="0"/>
  </sheetViews>
  <sheetFormatPr defaultRowHeight="11.2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9190-9C04-464C-A1C4-ADAF7D346C35}">
  <dimension ref="B1:W430"/>
  <sheetViews>
    <sheetView showGridLines="0" topLeftCell="B1" zoomScale="130" zoomScaleNormal="130" zoomScaleSheetLayoutView="70" workbookViewId="0">
      <selection activeCell="I16" sqref="I16:N22"/>
    </sheetView>
  </sheetViews>
  <sheetFormatPr defaultRowHeight="11.25" x14ac:dyDescent="0.2"/>
  <cols>
    <col min="1" max="1" width="4.83203125" customWidth="1"/>
    <col min="4" max="4" width="9.83203125" customWidth="1"/>
    <col min="8" max="8" width="2.83203125" customWidth="1"/>
    <col min="11" max="11" width="9.83203125" customWidth="1"/>
    <col min="16" max="16" width="19.5" customWidth="1"/>
    <col min="17" max="17" width="16.83203125" style="1" customWidth="1"/>
    <col min="20" max="23" width="12.5" style="24" customWidth="1"/>
  </cols>
  <sheetData>
    <row r="1" spans="2:23" ht="12" thickBot="1" x14ac:dyDescent="0.25">
      <c r="S1" s="18" t="s">
        <v>13</v>
      </c>
      <c r="T1" s="22" t="s">
        <v>14</v>
      </c>
      <c r="U1" s="23" t="s">
        <v>15</v>
      </c>
    </row>
    <row r="2" spans="2:23" ht="14.25" thickTop="1" x14ac:dyDescent="0.25">
      <c r="P2" s="14" t="s">
        <v>16</v>
      </c>
      <c r="Q2" s="17">
        <v>46002</v>
      </c>
      <c r="S2" s="2">
        <f>MONTH(Q2)</f>
        <v>12</v>
      </c>
      <c r="T2" s="24">
        <f>DAY(Q2)</f>
        <v>11</v>
      </c>
      <c r="U2" s="25" t="str">
        <f>_xlfn.CONCAT(S2,"/",T2)</f>
        <v>12/11</v>
      </c>
      <c r="W2" s="26"/>
    </row>
    <row r="3" spans="2:23" ht="12" customHeight="1" x14ac:dyDescent="0.2">
      <c r="P3" s="19" t="s">
        <v>17</v>
      </c>
      <c r="Q3" s="16">
        <v>1</v>
      </c>
    </row>
    <row r="4" spans="2:23" ht="12" customHeight="1" x14ac:dyDescent="0.2">
      <c r="P4" s="20" t="s">
        <v>18</v>
      </c>
      <c r="Q4" s="16">
        <v>55</v>
      </c>
    </row>
    <row r="5" spans="2:23" ht="13.5" x14ac:dyDescent="0.25">
      <c r="P5" s="14" t="s">
        <v>19</v>
      </c>
      <c r="Q5" s="17" t="s">
        <v>7</v>
      </c>
      <c r="S5" s="3" t="s">
        <v>21</v>
      </c>
      <c r="U5" s="27"/>
    </row>
    <row r="6" spans="2:23" x14ac:dyDescent="0.2">
      <c r="P6" s="13"/>
      <c r="S6" s="3" t="s">
        <v>7</v>
      </c>
      <c r="T6" s="24" t="s">
        <v>22</v>
      </c>
    </row>
    <row r="7" spans="2:23" x14ac:dyDescent="0.2">
      <c r="B7" s="40" t="s">
        <v>16</v>
      </c>
      <c r="C7" s="41"/>
      <c r="D7" s="46" t="str">
        <f>U2</f>
        <v>12/11</v>
      </c>
      <c r="E7" s="44"/>
      <c r="F7" s="44"/>
      <c r="G7" s="41"/>
      <c r="H7" s="2"/>
      <c r="I7" s="40" t="s">
        <v>16</v>
      </c>
      <c r="J7" s="41"/>
      <c r="K7" s="46" t="str">
        <f>D7</f>
        <v>12/11</v>
      </c>
      <c r="L7" s="44"/>
      <c r="M7" s="44"/>
      <c r="N7" s="41"/>
      <c r="S7" s="3" t="s">
        <v>23</v>
      </c>
      <c r="T7" s="24" t="s">
        <v>24</v>
      </c>
    </row>
    <row r="8" spans="2:23" x14ac:dyDescent="0.2">
      <c r="B8" s="42"/>
      <c r="C8" s="43"/>
      <c r="D8" s="42"/>
      <c r="E8" s="45"/>
      <c r="F8" s="45"/>
      <c r="G8" s="43"/>
      <c r="H8" s="2"/>
      <c r="I8" s="42"/>
      <c r="J8" s="43"/>
      <c r="K8" s="42"/>
      <c r="L8" s="45"/>
      <c r="M8" s="45"/>
      <c r="N8" s="43"/>
      <c r="S8" s="3" t="s">
        <v>20</v>
      </c>
      <c r="T8" s="24" t="s">
        <v>20</v>
      </c>
    </row>
    <row r="9" spans="2:23" x14ac:dyDescent="0.2">
      <c r="B9" s="40" t="s">
        <v>25</v>
      </c>
      <c r="C9" s="41"/>
      <c r="D9" s="46" t="str">
        <f>Q5</f>
        <v>GS</v>
      </c>
      <c r="E9" s="44"/>
      <c r="F9" s="44"/>
      <c r="G9" s="41"/>
      <c r="H9" s="2"/>
      <c r="I9" s="40" t="s">
        <v>25</v>
      </c>
      <c r="J9" s="41"/>
      <c r="K9" s="46" t="str">
        <f>D9</f>
        <v>GS</v>
      </c>
      <c r="L9" s="44"/>
      <c r="M9" s="44"/>
      <c r="N9" s="41"/>
      <c r="S9" s="3" t="s">
        <v>26</v>
      </c>
      <c r="T9" s="24" t="s">
        <v>27</v>
      </c>
    </row>
    <row r="10" spans="2:23" x14ac:dyDescent="0.2">
      <c r="B10" s="42"/>
      <c r="C10" s="43"/>
      <c r="D10" s="42"/>
      <c r="E10" s="45"/>
      <c r="F10" s="45"/>
      <c r="G10" s="43"/>
      <c r="H10" s="2"/>
      <c r="I10" s="42"/>
      <c r="J10" s="43"/>
      <c r="K10" s="42"/>
      <c r="L10" s="45"/>
      <c r="M10" s="45"/>
      <c r="N10" s="43"/>
    </row>
    <row r="11" spans="2:23" ht="14.25" customHeight="1" x14ac:dyDescent="0.2">
      <c r="B11" s="40" t="s">
        <v>28</v>
      </c>
      <c r="C11" s="41"/>
      <c r="D11" s="40">
        <f>Q3</f>
        <v>1</v>
      </c>
      <c r="E11" s="44"/>
      <c r="F11" s="44"/>
      <c r="G11" s="41"/>
      <c r="H11" s="2"/>
      <c r="I11" s="40" t="s">
        <v>28</v>
      </c>
      <c r="J11" s="41"/>
      <c r="K11" s="40">
        <f>+D11+1</f>
        <v>2</v>
      </c>
      <c r="L11" s="44"/>
      <c r="M11" s="44"/>
      <c r="N11" s="41"/>
    </row>
    <row r="12" spans="2:23" ht="14.25" customHeight="1" x14ac:dyDescent="0.2">
      <c r="B12" s="42"/>
      <c r="C12" s="43"/>
      <c r="D12" s="42"/>
      <c r="E12" s="45"/>
      <c r="F12" s="45"/>
      <c r="G12" s="43"/>
      <c r="H12" s="2"/>
      <c r="I12" s="42"/>
      <c r="J12" s="43"/>
      <c r="K12" s="42"/>
      <c r="L12" s="45"/>
      <c r="M12" s="45"/>
      <c r="N12" s="43"/>
    </row>
    <row r="13" spans="2:23" x14ac:dyDescent="0.2">
      <c r="B13" s="40" t="s">
        <v>29</v>
      </c>
      <c r="C13" s="41"/>
      <c r="D13" s="55" t="str">
        <f>_xlfn.CONCAT("*",B16,"*")</f>
        <v>*GS-1-12/11*</v>
      </c>
      <c r="E13" s="56"/>
      <c r="F13" s="56"/>
      <c r="G13" s="57"/>
      <c r="H13" s="2"/>
      <c r="I13" s="40" t="s">
        <v>29</v>
      </c>
      <c r="J13" s="41"/>
      <c r="K13" s="55" t="str">
        <f>_xlfn.CONCAT("*",I16,"*")</f>
        <v>*GS-2-12/11*</v>
      </c>
      <c r="L13" s="56"/>
      <c r="M13" s="56"/>
      <c r="N13" s="57"/>
    </row>
    <row r="14" spans="2:23" x14ac:dyDescent="0.2">
      <c r="B14" s="42"/>
      <c r="C14" s="43"/>
      <c r="D14" s="58"/>
      <c r="E14" s="59"/>
      <c r="F14" s="59"/>
      <c r="G14" s="60"/>
      <c r="H14" s="2"/>
      <c r="I14" s="42"/>
      <c r="J14" s="43"/>
      <c r="K14" s="58"/>
      <c r="L14" s="59"/>
      <c r="M14" s="59"/>
      <c r="N14" s="60"/>
    </row>
    <row r="15" spans="2:23" ht="13.5" x14ac:dyDescent="0.2">
      <c r="B15" s="47" t="s">
        <v>30</v>
      </c>
      <c r="C15" s="47"/>
      <c r="D15" s="47"/>
      <c r="E15" s="47"/>
      <c r="F15" s="47"/>
      <c r="G15" s="47"/>
      <c r="H15" s="2"/>
      <c r="I15" s="47" t="s">
        <v>30</v>
      </c>
      <c r="J15" s="47"/>
      <c r="K15" s="47"/>
      <c r="L15" s="47"/>
      <c r="M15" s="47"/>
      <c r="N15" s="47"/>
    </row>
    <row r="16" spans="2:23" x14ac:dyDescent="0.2">
      <c r="B16" s="48" t="str">
        <f>_xlfn.CONCAT(D9,"-",D11,"-",D7)</f>
        <v>GS-1-12/11</v>
      </c>
      <c r="C16" s="48"/>
      <c r="D16" s="48"/>
      <c r="E16" s="48"/>
      <c r="F16" s="48"/>
      <c r="G16" s="48"/>
      <c r="H16" s="2"/>
      <c r="I16" s="48" t="str">
        <f>_xlfn.CONCAT(K9,"-",K11,"-",K7)</f>
        <v>GS-2-12/11</v>
      </c>
      <c r="J16" s="48"/>
      <c r="K16" s="48"/>
      <c r="L16" s="48"/>
      <c r="M16" s="48"/>
      <c r="N16" s="48"/>
    </row>
    <row r="17" spans="2:14" x14ac:dyDescent="0.2">
      <c r="B17" s="48"/>
      <c r="C17" s="48"/>
      <c r="D17" s="48"/>
      <c r="E17" s="48"/>
      <c r="F17" s="48"/>
      <c r="G17" s="48"/>
      <c r="H17" s="2"/>
      <c r="I17" s="48"/>
      <c r="J17" s="48"/>
      <c r="K17" s="48"/>
      <c r="L17" s="48"/>
      <c r="M17" s="48"/>
      <c r="N17" s="48"/>
    </row>
    <row r="18" spans="2:14" x14ac:dyDescent="0.2">
      <c r="B18" s="48"/>
      <c r="C18" s="48"/>
      <c r="D18" s="48"/>
      <c r="E18" s="48"/>
      <c r="F18" s="48"/>
      <c r="G18" s="48"/>
      <c r="H18" s="2"/>
      <c r="I18" s="48"/>
      <c r="J18" s="48"/>
      <c r="K18" s="48"/>
      <c r="L18" s="48"/>
      <c r="M18" s="48"/>
      <c r="N18" s="48"/>
    </row>
    <row r="19" spans="2:14" x14ac:dyDescent="0.2">
      <c r="B19" s="48"/>
      <c r="C19" s="48"/>
      <c r="D19" s="48"/>
      <c r="E19" s="48"/>
      <c r="F19" s="48"/>
      <c r="G19" s="48"/>
      <c r="H19" s="2"/>
      <c r="I19" s="48"/>
      <c r="J19" s="48"/>
      <c r="K19" s="48"/>
      <c r="L19" s="48"/>
      <c r="M19" s="48"/>
      <c r="N19" s="48"/>
    </row>
    <row r="20" spans="2:14" x14ac:dyDescent="0.2">
      <c r="B20" s="48"/>
      <c r="C20" s="48"/>
      <c r="D20" s="48"/>
      <c r="E20" s="48"/>
      <c r="F20" s="48"/>
      <c r="G20" s="48"/>
      <c r="H20" s="2"/>
      <c r="I20" s="48"/>
      <c r="J20" s="48"/>
      <c r="K20" s="48"/>
      <c r="L20" s="48"/>
      <c r="M20" s="48"/>
      <c r="N20" s="48"/>
    </row>
    <row r="21" spans="2:14" x14ac:dyDescent="0.2">
      <c r="B21" s="48"/>
      <c r="C21" s="48"/>
      <c r="D21" s="48"/>
      <c r="E21" s="48"/>
      <c r="F21" s="48"/>
      <c r="G21" s="48"/>
      <c r="H21" s="2"/>
      <c r="I21" s="48"/>
      <c r="J21" s="48"/>
      <c r="K21" s="48"/>
      <c r="L21" s="48"/>
      <c r="M21" s="48"/>
      <c r="N21" s="48"/>
    </row>
    <row r="22" spans="2:14" x14ac:dyDescent="0.2">
      <c r="B22" s="48"/>
      <c r="C22" s="48"/>
      <c r="D22" s="48"/>
      <c r="E22" s="48"/>
      <c r="F22" s="48"/>
      <c r="G22" s="48"/>
      <c r="H22" s="2"/>
      <c r="I22" s="48"/>
      <c r="J22" s="48"/>
      <c r="K22" s="48"/>
      <c r="L22" s="48"/>
      <c r="M22" s="48"/>
      <c r="N22" s="48"/>
    </row>
    <row r="24" spans="2:14" x14ac:dyDescent="0.2">
      <c r="B24" s="40" t="s">
        <v>16</v>
      </c>
      <c r="C24" s="41"/>
      <c r="D24" s="46" t="str">
        <f>K7</f>
        <v>12/11</v>
      </c>
      <c r="E24" s="44"/>
      <c r="F24" s="44"/>
      <c r="G24" s="41"/>
      <c r="H24" s="2"/>
      <c r="I24" s="40" t="s">
        <v>16</v>
      </c>
      <c r="J24" s="41"/>
      <c r="K24" s="46" t="str">
        <f>D24</f>
        <v>12/11</v>
      </c>
      <c r="L24" s="44"/>
      <c r="M24" s="44"/>
      <c r="N24" s="41"/>
    </row>
    <row r="25" spans="2:14" x14ac:dyDescent="0.2">
      <c r="B25" s="42"/>
      <c r="C25" s="43"/>
      <c r="D25" s="42"/>
      <c r="E25" s="45"/>
      <c r="F25" s="45"/>
      <c r="G25" s="43"/>
      <c r="H25" s="2"/>
      <c r="I25" s="42"/>
      <c r="J25" s="43"/>
      <c r="K25" s="42"/>
      <c r="L25" s="45"/>
      <c r="M25" s="45"/>
      <c r="N25" s="43"/>
    </row>
    <row r="26" spans="2:14" x14ac:dyDescent="0.2">
      <c r="B26" s="40" t="s">
        <v>25</v>
      </c>
      <c r="C26" s="41"/>
      <c r="D26" s="46" t="str">
        <f>K9</f>
        <v>GS</v>
      </c>
      <c r="E26" s="44"/>
      <c r="F26" s="44"/>
      <c r="G26" s="41"/>
      <c r="H26" s="2"/>
      <c r="I26" s="40" t="s">
        <v>25</v>
      </c>
      <c r="J26" s="41"/>
      <c r="K26" s="46" t="str">
        <f>D26</f>
        <v>GS</v>
      </c>
      <c r="L26" s="44"/>
      <c r="M26" s="44"/>
      <c r="N26" s="41"/>
    </row>
    <row r="27" spans="2:14" x14ac:dyDescent="0.2">
      <c r="B27" s="42"/>
      <c r="C27" s="43"/>
      <c r="D27" s="42"/>
      <c r="E27" s="45"/>
      <c r="F27" s="45"/>
      <c r="G27" s="43"/>
      <c r="H27" s="2"/>
      <c r="I27" s="42"/>
      <c r="J27" s="43"/>
      <c r="K27" s="42"/>
      <c r="L27" s="45"/>
      <c r="M27" s="45"/>
      <c r="N27" s="43"/>
    </row>
    <row r="28" spans="2:14" ht="14.25" customHeight="1" x14ac:dyDescent="0.2">
      <c r="B28" s="40" t="s">
        <v>28</v>
      </c>
      <c r="C28" s="41"/>
      <c r="D28" s="40">
        <f>+K11+1</f>
        <v>3</v>
      </c>
      <c r="E28" s="44"/>
      <c r="F28" s="44"/>
      <c r="G28" s="41"/>
      <c r="H28" s="2"/>
      <c r="I28" s="40" t="s">
        <v>28</v>
      </c>
      <c r="J28" s="41"/>
      <c r="K28" s="40">
        <f>+D28+1</f>
        <v>4</v>
      </c>
      <c r="L28" s="44"/>
      <c r="M28" s="44"/>
      <c r="N28" s="41"/>
    </row>
    <row r="29" spans="2:14" ht="14.25" customHeight="1" x14ac:dyDescent="0.2">
      <c r="B29" s="42"/>
      <c r="C29" s="43"/>
      <c r="D29" s="42"/>
      <c r="E29" s="45"/>
      <c r="F29" s="45"/>
      <c r="G29" s="43"/>
      <c r="H29" s="2"/>
      <c r="I29" s="42"/>
      <c r="J29" s="43"/>
      <c r="K29" s="42"/>
      <c r="L29" s="45"/>
      <c r="M29" s="45"/>
      <c r="N29" s="43"/>
    </row>
    <row r="30" spans="2:14" x14ac:dyDescent="0.2">
      <c r="B30" s="40" t="s">
        <v>29</v>
      </c>
      <c r="C30" s="41"/>
      <c r="D30" s="55" t="str">
        <f>_xlfn.CONCAT("*",B33,"*")</f>
        <v>*GS-3-12/11*</v>
      </c>
      <c r="E30" s="56"/>
      <c r="F30" s="56"/>
      <c r="G30" s="57"/>
      <c r="H30" s="2"/>
      <c r="I30" s="40" t="s">
        <v>29</v>
      </c>
      <c r="J30" s="41"/>
      <c r="K30" s="55" t="str">
        <f>_xlfn.CONCAT("*",I33,"*")</f>
        <v>*GS-4-12/11*</v>
      </c>
      <c r="L30" s="56"/>
      <c r="M30" s="56"/>
      <c r="N30" s="57"/>
    </row>
    <row r="31" spans="2:14" x14ac:dyDescent="0.2">
      <c r="B31" s="42"/>
      <c r="C31" s="43"/>
      <c r="D31" s="58"/>
      <c r="E31" s="59"/>
      <c r="F31" s="59"/>
      <c r="G31" s="60"/>
      <c r="H31" s="2"/>
      <c r="I31" s="42"/>
      <c r="J31" s="43"/>
      <c r="K31" s="58"/>
      <c r="L31" s="59"/>
      <c r="M31" s="59"/>
      <c r="N31" s="60"/>
    </row>
    <row r="32" spans="2:14" ht="13.5" x14ac:dyDescent="0.2">
      <c r="B32" s="47" t="s">
        <v>30</v>
      </c>
      <c r="C32" s="47"/>
      <c r="D32" s="47"/>
      <c r="E32" s="47"/>
      <c r="F32" s="47"/>
      <c r="G32" s="47"/>
      <c r="H32" s="2"/>
      <c r="I32" s="47" t="s">
        <v>30</v>
      </c>
      <c r="J32" s="47"/>
      <c r="K32" s="47"/>
      <c r="L32" s="47"/>
      <c r="M32" s="47"/>
      <c r="N32" s="47"/>
    </row>
    <row r="33" spans="2:14" x14ac:dyDescent="0.2">
      <c r="B33" s="48" t="str">
        <f>_xlfn.CONCAT(D26,"-",D28,"-",D24)</f>
        <v>GS-3-12/11</v>
      </c>
      <c r="C33" s="48"/>
      <c r="D33" s="48"/>
      <c r="E33" s="48"/>
      <c r="F33" s="48"/>
      <c r="G33" s="48"/>
      <c r="H33" s="2"/>
      <c r="I33" s="48" t="str">
        <f>_xlfn.CONCAT(K26,"-",K28,"-",K24)</f>
        <v>GS-4-12/11</v>
      </c>
      <c r="J33" s="48"/>
      <c r="K33" s="48"/>
      <c r="L33" s="48"/>
      <c r="M33" s="48"/>
      <c r="N33" s="48"/>
    </row>
    <row r="34" spans="2:14" x14ac:dyDescent="0.2">
      <c r="B34" s="48"/>
      <c r="C34" s="48"/>
      <c r="D34" s="48"/>
      <c r="E34" s="48"/>
      <c r="F34" s="48"/>
      <c r="G34" s="48"/>
      <c r="H34" s="2"/>
      <c r="I34" s="48"/>
      <c r="J34" s="48"/>
      <c r="K34" s="48"/>
      <c r="L34" s="48"/>
      <c r="M34" s="48"/>
      <c r="N34" s="48"/>
    </row>
    <row r="35" spans="2:14" x14ac:dyDescent="0.2">
      <c r="B35" s="48"/>
      <c r="C35" s="48"/>
      <c r="D35" s="48"/>
      <c r="E35" s="48"/>
      <c r="F35" s="48"/>
      <c r="G35" s="48"/>
      <c r="H35" s="2"/>
      <c r="I35" s="48"/>
      <c r="J35" s="48"/>
      <c r="K35" s="48"/>
      <c r="L35" s="48"/>
      <c r="M35" s="48"/>
      <c r="N35" s="48"/>
    </row>
    <row r="36" spans="2:14" x14ac:dyDescent="0.2">
      <c r="B36" s="48"/>
      <c r="C36" s="48"/>
      <c r="D36" s="48"/>
      <c r="E36" s="48"/>
      <c r="F36" s="48"/>
      <c r="G36" s="48"/>
      <c r="H36" s="2"/>
      <c r="I36" s="48"/>
      <c r="J36" s="48"/>
      <c r="K36" s="48"/>
      <c r="L36" s="48"/>
      <c r="M36" s="48"/>
      <c r="N36" s="48"/>
    </row>
    <row r="37" spans="2:14" x14ac:dyDescent="0.2">
      <c r="B37" s="48"/>
      <c r="C37" s="48"/>
      <c r="D37" s="48"/>
      <c r="E37" s="48"/>
      <c r="F37" s="48"/>
      <c r="G37" s="48"/>
      <c r="H37" s="2"/>
      <c r="I37" s="48"/>
      <c r="J37" s="48"/>
      <c r="K37" s="48"/>
      <c r="L37" s="48"/>
      <c r="M37" s="48"/>
      <c r="N37" s="48"/>
    </row>
    <row r="38" spans="2:14" x14ac:dyDescent="0.2">
      <c r="B38" s="48"/>
      <c r="C38" s="48"/>
      <c r="D38" s="48"/>
      <c r="E38" s="48"/>
      <c r="F38" s="48"/>
      <c r="G38" s="48"/>
      <c r="H38" s="2"/>
      <c r="I38" s="48"/>
      <c r="J38" s="48"/>
      <c r="K38" s="48"/>
      <c r="L38" s="48"/>
      <c r="M38" s="48"/>
      <c r="N38" s="48"/>
    </row>
    <row r="39" spans="2:14" x14ac:dyDescent="0.2">
      <c r="B39" s="48"/>
      <c r="C39" s="48"/>
      <c r="D39" s="48"/>
      <c r="E39" s="48"/>
      <c r="F39" s="48"/>
      <c r="G39" s="48"/>
      <c r="H39" s="2"/>
      <c r="I39" s="48"/>
      <c r="J39" s="48"/>
      <c r="K39" s="48"/>
      <c r="L39" s="48"/>
      <c r="M39" s="48"/>
      <c r="N39" s="48"/>
    </row>
    <row r="41" spans="2:14" x14ac:dyDescent="0.2">
      <c r="B41" s="40" t="s">
        <v>16</v>
      </c>
      <c r="C41" s="41"/>
      <c r="D41" s="46" t="str">
        <f>K24</f>
        <v>12/11</v>
      </c>
      <c r="E41" s="44"/>
      <c r="F41" s="44"/>
      <c r="G41" s="41"/>
      <c r="H41" s="2"/>
      <c r="I41" s="40" t="s">
        <v>16</v>
      </c>
      <c r="J41" s="41"/>
      <c r="K41" s="46" t="str">
        <f>D41</f>
        <v>12/11</v>
      </c>
      <c r="L41" s="44"/>
      <c r="M41" s="44"/>
      <c r="N41" s="41"/>
    </row>
    <row r="42" spans="2:14" x14ac:dyDescent="0.2">
      <c r="B42" s="42"/>
      <c r="C42" s="43"/>
      <c r="D42" s="42"/>
      <c r="E42" s="45"/>
      <c r="F42" s="45"/>
      <c r="G42" s="43"/>
      <c r="H42" s="2"/>
      <c r="I42" s="42"/>
      <c r="J42" s="43"/>
      <c r="K42" s="42"/>
      <c r="L42" s="45"/>
      <c r="M42" s="45"/>
      <c r="N42" s="43"/>
    </row>
    <row r="43" spans="2:14" x14ac:dyDescent="0.2">
      <c r="B43" s="40" t="s">
        <v>25</v>
      </c>
      <c r="C43" s="41"/>
      <c r="D43" s="46" t="str">
        <f>K26</f>
        <v>GS</v>
      </c>
      <c r="E43" s="44"/>
      <c r="F43" s="44"/>
      <c r="G43" s="41"/>
      <c r="H43" s="2"/>
      <c r="I43" s="40" t="s">
        <v>25</v>
      </c>
      <c r="J43" s="41"/>
      <c r="K43" s="46" t="str">
        <f>D43</f>
        <v>GS</v>
      </c>
      <c r="L43" s="44"/>
      <c r="M43" s="44"/>
      <c r="N43" s="41"/>
    </row>
    <row r="44" spans="2:14" x14ac:dyDescent="0.2">
      <c r="B44" s="42"/>
      <c r="C44" s="43"/>
      <c r="D44" s="42"/>
      <c r="E44" s="45"/>
      <c r="F44" s="45"/>
      <c r="G44" s="43"/>
      <c r="H44" s="2"/>
      <c r="I44" s="42"/>
      <c r="J44" s="43"/>
      <c r="K44" s="42"/>
      <c r="L44" s="45"/>
      <c r="M44" s="45"/>
      <c r="N44" s="43"/>
    </row>
    <row r="45" spans="2:14" ht="14.25" customHeight="1" x14ac:dyDescent="0.2">
      <c r="B45" s="40" t="s">
        <v>28</v>
      </c>
      <c r="C45" s="41"/>
      <c r="D45" s="40">
        <f>+K28+1</f>
        <v>5</v>
      </c>
      <c r="E45" s="44"/>
      <c r="F45" s="44"/>
      <c r="G45" s="41"/>
      <c r="H45" s="2"/>
      <c r="I45" s="40" t="s">
        <v>28</v>
      </c>
      <c r="J45" s="41"/>
      <c r="K45" s="40">
        <f>+D45+1</f>
        <v>6</v>
      </c>
      <c r="L45" s="44"/>
      <c r="M45" s="44"/>
      <c r="N45" s="41"/>
    </row>
    <row r="46" spans="2:14" ht="14.25" customHeight="1" x14ac:dyDescent="0.2">
      <c r="B46" s="42"/>
      <c r="C46" s="43"/>
      <c r="D46" s="42"/>
      <c r="E46" s="45"/>
      <c r="F46" s="45"/>
      <c r="G46" s="43"/>
      <c r="H46" s="2"/>
      <c r="I46" s="42"/>
      <c r="J46" s="43"/>
      <c r="K46" s="42"/>
      <c r="L46" s="45"/>
      <c r="M46" s="45"/>
      <c r="N46" s="43"/>
    </row>
    <row r="47" spans="2:14" x14ac:dyDescent="0.2">
      <c r="B47" s="40" t="s">
        <v>29</v>
      </c>
      <c r="C47" s="41"/>
      <c r="D47" s="55" t="str">
        <f>_xlfn.CONCAT("*",B50,"*")</f>
        <v>*GS-5-12/11*</v>
      </c>
      <c r="E47" s="56"/>
      <c r="F47" s="56"/>
      <c r="G47" s="57"/>
      <c r="H47" s="2"/>
      <c r="I47" s="40" t="s">
        <v>29</v>
      </c>
      <c r="J47" s="41"/>
      <c r="K47" s="55" t="str">
        <f>_xlfn.CONCAT("*",I50,"*")</f>
        <v>*GS-6-12/11*</v>
      </c>
      <c r="L47" s="56"/>
      <c r="M47" s="56"/>
      <c r="N47" s="57"/>
    </row>
    <row r="48" spans="2:14" x14ac:dyDescent="0.2">
      <c r="B48" s="42"/>
      <c r="C48" s="43"/>
      <c r="D48" s="58"/>
      <c r="E48" s="59"/>
      <c r="F48" s="59"/>
      <c r="G48" s="60"/>
      <c r="H48" s="2"/>
      <c r="I48" s="42"/>
      <c r="J48" s="43"/>
      <c r="K48" s="58"/>
      <c r="L48" s="59"/>
      <c r="M48" s="59"/>
      <c r="N48" s="60"/>
    </row>
    <row r="49" spans="2:14" ht="13.5" x14ac:dyDescent="0.2">
      <c r="B49" s="47" t="s">
        <v>30</v>
      </c>
      <c r="C49" s="47"/>
      <c r="D49" s="47"/>
      <c r="E49" s="47"/>
      <c r="F49" s="47"/>
      <c r="G49" s="47"/>
      <c r="H49" s="2"/>
      <c r="I49" s="47" t="s">
        <v>30</v>
      </c>
      <c r="J49" s="47"/>
      <c r="K49" s="47"/>
      <c r="L49" s="47"/>
      <c r="M49" s="47"/>
      <c r="N49" s="47"/>
    </row>
    <row r="50" spans="2:14" x14ac:dyDescent="0.2">
      <c r="B50" s="48" t="str">
        <f>_xlfn.CONCAT(D43,"-",D45,"-",D41)</f>
        <v>GS-5-12/11</v>
      </c>
      <c r="C50" s="48"/>
      <c r="D50" s="48"/>
      <c r="E50" s="48"/>
      <c r="F50" s="48"/>
      <c r="G50" s="48"/>
      <c r="H50" s="2"/>
      <c r="I50" s="48" t="str">
        <f>_xlfn.CONCAT(K43,"-",K45,"-",K41)</f>
        <v>GS-6-12/11</v>
      </c>
      <c r="J50" s="48"/>
      <c r="K50" s="48"/>
      <c r="L50" s="48"/>
      <c r="M50" s="48"/>
      <c r="N50" s="48"/>
    </row>
    <row r="51" spans="2:14" x14ac:dyDescent="0.2">
      <c r="B51" s="48"/>
      <c r="C51" s="48"/>
      <c r="D51" s="48"/>
      <c r="E51" s="48"/>
      <c r="F51" s="48"/>
      <c r="G51" s="48"/>
      <c r="H51" s="2"/>
      <c r="I51" s="48"/>
      <c r="J51" s="48"/>
      <c r="K51" s="48"/>
      <c r="L51" s="48"/>
      <c r="M51" s="48"/>
      <c r="N51" s="48"/>
    </row>
    <row r="52" spans="2:14" x14ac:dyDescent="0.2">
      <c r="B52" s="48"/>
      <c r="C52" s="48"/>
      <c r="D52" s="48"/>
      <c r="E52" s="48"/>
      <c r="F52" s="48"/>
      <c r="G52" s="48"/>
      <c r="H52" s="2"/>
      <c r="I52" s="48"/>
      <c r="J52" s="48"/>
      <c r="K52" s="48"/>
      <c r="L52" s="48"/>
      <c r="M52" s="48"/>
      <c r="N52" s="48"/>
    </row>
    <row r="53" spans="2:14" x14ac:dyDescent="0.2">
      <c r="B53" s="48"/>
      <c r="C53" s="48"/>
      <c r="D53" s="48"/>
      <c r="E53" s="48"/>
      <c r="F53" s="48"/>
      <c r="G53" s="48"/>
      <c r="H53" s="2"/>
      <c r="I53" s="48"/>
      <c r="J53" s="48"/>
      <c r="K53" s="48"/>
      <c r="L53" s="48"/>
      <c r="M53" s="48"/>
      <c r="N53" s="48"/>
    </row>
    <row r="54" spans="2:14" x14ac:dyDescent="0.2">
      <c r="B54" s="48"/>
      <c r="C54" s="48"/>
      <c r="D54" s="48"/>
      <c r="E54" s="48"/>
      <c r="F54" s="48"/>
      <c r="G54" s="48"/>
      <c r="H54" s="2"/>
      <c r="I54" s="48"/>
      <c r="J54" s="48"/>
      <c r="K54" s="48"/>
      <c r="L54" s="48"/>
      <c r="M54" s="48"/>
      <c r="N54" s="48"/>
    </row>
    <row r="55" spans="2:14" x14ac:dyDescent="0.2">
      <c r="B55" s="48"/>
      <c r="C55" s="48"/>
      <c r="D55" s="48"/>
      <c r="E55" s="48"/>
      <c r="F55" s="48"/>
      <c r="G55" s="48"/>
      <c r="H55" s="2"/>
      <c r="I55" s="48"/>
      <c r="J55" s="48"/>
      <c r="K55" s="48"/>
      <c r="L55" s="48"/>
      <c r="M55" s="48"/>
      <c r="N55" s="48"/>
    </row>
    <row r="56" spans="2:14" x14ac:dyDescent="0.2">
      <c r="B56" s="48"/>
      <c r="C56" s="48"/>
      <c r="D56" s="48"/>
      <c r="E56" s="48"/>
      <c r="F56" s="48"/>
      <c r="G56" s="48"/>
      <c r="H56" s="2"/>
      <c r="I56" s="48"/>
      <c r="J56" s="48"/>
      <c r="K56" s="48"/>
      <c r="L56" s="48"/>
      <c r="M56" s="48"/>
      <c r="N56" s="48"/>
    </row>
    <row r="58" spans="2:14" x14ac:dyDescent="0.2">
      <c r="B58" s="40" t="s">
        <v>16</v>
      </c>
      <c r="C58" s="41"/>
      <c r="D58" s="46" t="str">
        <f>K41</f>
        <v>12/11</v>
      </c>
      <c r="E58" s="44"/>
      <c r="F58" s="44"/>
      <c r="G58" s="41"/>
      <c r="H58" s="2"/>
      <c r="I58" s="40" t="s">
        <v>16</v>
      </c>
      <c r="J58" s="41"/>
      <c r="K58" s="46" t="str">
        <f>D58</f>
        <v>12/11</v>
      </c>
      <c r="L58" s="44"/>
      <c r="M58" s="44"/>
      <c r="N58" s="41"/>
    </row>
    <row r="59" spans="2:14" x14ac:dyDescent="0.2">
      <c r="B59" s="42"/>
      <c r="C59" s="43"/>
      <c r="D59" s="42"/>
      <c r="E59" s="45"/>
      <c r="F59" s="45"/>
      <c r="G59" s="43"/>
      <c r="H59" s="2"/>
      <c r="I59" s="42"/>
      <c r="J59" s="43"/>
      <c r="K59" s="42"/>
      <c r="L59" s="45"/>
      <c r="M59" s="45"/>
      <c r="N59" s="43"/>
    </row>
    <row r="60" spans="2:14" x14ac:dyDescent="0.2">
      <c r="B60" s="40" t="s">
        <v>25</v>
      </c>
      <c r="C60" s="41"/>
      <c r="D60" s="46" t="str">
        <f>K43</f>
        <v>GS</v>
      </c>
      <c r="E60" s="44"/>
      <c r="F60" s="44"/>
      <c r="G60" s="41"/>
      <c r="H60" s="2"/>
      <c r="I60" s="40" t="s">
        <v>25</v>
      </c>
      <c r="J60" s="41"/>
      <c r="K60" s="46" t="str">
        <f>D60</f>
        <v>GS</v>
      </c>
      <c r="L60" s="44"/>
      <c r="M60" s="44"/>
      <c r="N60" s="41"/>
    </row>
    <row r="61" spans="2:14" x14ac:dyDescent="0.2">
      <c r="B61" s="42"/>
      <c r="C61" s="43"/>
      <c r="D61" s="42"/>
      <c r="E61" s="45"/>
      <c r="F61" s="45"/>
      <c r="G61" s="43"/>
      <c r="H61" s="2"/>
      <c r="I61" s="42"/>
      <c r="J61" s="43"/>
      <c r="K61" s="42"/>
      <c r="L61" s="45"/>
      <c r="M61" s="45"/>
      <c r="N61" s="43"/>
    </row>
    <row r="62" spans="2:14" ht="14.25" customHeight="1" x14ac:dyDescent="0.2">
      <c r="B62" s="40" t="s">
        <v>28</v>
      </c>
      <c r="C62" s="41"/>
      <c r="D62" s="40">
        <f>+K45+1</f>
        <v>7</v>
      </c>
      <c r="E62" s="44"/>
      <c r="F62" s="44"/>
      <c r="G62" s="41"/>
      <c r="H62" s="2"/>
      <c r="I62" s="40" t="s">
        <v>28</v>
      </c>
      <c r="J62" s="41"/>
      <c r="K62" s="40">
        <f>+D62+1</f>
        <v>8</v>
      </c>
      <c r="L62" s="44"/>
      <c r="M62" s="44"/>
      <c r="N62" s="41"/>
    </row>
    <row r="63" spans="2:14" ht="14.25" customHeight="1" x14ac:dyDescent="0.2">
      <c r="B63" s="42"/>
      <c r="C63" s="43"/>
      <c r="D63" s="42"/>
      <c r="E63" s="45"/>
      <c r="F63" s="45"/>
      <c r="G63" s="43"/>
      <c r="H63" s="2"/>
      <c r="I63" s="42"/>
      <c r="J63" s="43"/>
      <c r="K63" s="42"/>
      <c r="L63" s="45"/>
      <c r="M63" s="45"/>
      <c r="N63" s="43"/>
    </row>
    <row r="64" spans="2:14" x14ac:dyDescent="0.2">
      <c r="B64" s="40" t="s">
        <v>29</v>
      </c>
      <c r="C64" s="41"/>
      <c r="D64" s="55" t="str">
        <f>_xlfn.CONCAT("*",B67,"*")</f>
        <v>*GS-7-12/11*</v>
      </c>
      <c r="E64" s="56"/>
      <c r="F64" s="56"/>
      <c r="G64" s="57"/>
      <c r="H64" s="2"/>
      <c r="I64" s="40" t="s">
        <v>29</v>
      </c>
      <c r="J64" s="41"/>
      <c r="K64" s="55" t="str">
        <f>_xlfn.CONCAT("*",I67,"*")</f>
        <v>*GS-8-12/11*</v>
      </c>
      <c r="L64" s="56"/>
      <c r="M64" s="56"/>
      <c r="N64" s="57"/>
    </row>
    <row r="65" spans="2:14" x14ac:dyDescent="0.2">
      <c r="B65" s="42"/>
      <c r="C65" s="43"/>
      <c r="D65" s="58"/>
      <c r="E65" s="59"/>
      <c r="F65" s="59"/>
      <c r="G65" s="60"/>
      <c r="H65" s="2"/>
      <c r="I65" s="42"/>
      <c r="J65" s="43"/>
      <c r="K65" s="58"/>
      <c r="L65" s="59"/>
      <c r="M65" s="59"/>
      <c r="N65" s="60"/>
    </row>
    <row r="66" spans="2:14" ht="13.5" x14ac:dyDescent="0.2">
      <c r="B66" s="47" t="s">
        <v>30</v>
      </c>
      <c r="C66" s="47"/>
      <c r="D66" s="47"/>
      <c r="E66" s="47"/>
      <c r="F66" s="47"/>
      <c r="G66" s="47"/>
      <c r="H66" s="2"/>
      <c r="I66" s="47" t="s">
        <v>30</v>
      </c>
      <c r="J66" s="47"/>
      <c r="K66" s="47"/>
      <c r="L66" s="47"/>
      <c r="M66" s="47"/>
      <c r="N66" s="47"/>
    </row>
    <row r="67" spans="2:14" x14ac:dyDescent="0.2">
      <c r="B67" s="48" t="str">
        <f>_xlfn.CONCAT(D60,"-",D62,"-",D58)</f>
        <v>GS-7-12/11</v>
      </c>
      <c r="C67" s="48"/>
      <c r="D67" s="48"/>
      <c r="E67" s="48"/>
      <c r="F67" s="48"/>
      <c r="G67" s="48"/>
      <c r="H67" s="2"/>
      <c r="I67" s="48" t="str">
        <f>_xlfn.CONCAT(K60,"-",K62,"-",K58)</f>
        <v>GS-8-12/11</v>
      </c>
      <c r="J67" s="48"/>
      <c r="K67" s="48"/>
      <c r="L67" s="48"/>
      <c r="M67" s="48"/>
      <c r="N67" s="48"/>
    </row>
    <row r="68" spans="2:14" x14ac:dyDescent="0.2">
      <c r="B68" s="48"/>
      <c r="C68" s="48"/>
      <c r="D68" s="48"/>
      <c r="E68" s="48"/>
      <c r="F68" s="48"/>
      <c r="G68" s="48"/>
      <c r="H68" s="2"/>
      <c r="I68" s="48"/>
      <c r="J68" s="48"/>
      <c r="K68" s="48"/>
      <c r="L68" s="48"/>
      <c r="M68" s="48"/>
      <c r="N68" s="48"/>
    </row>
    <row r="69" spans="2:14" x14ac:dyDescent="0.2">
      <c r="B69" s="48"/>
      <c r="C69" s="48"/>
      <c r="D69" s="48"/>
      <c r="E69" s="48"/>
      <c r="F69" s="48"/>
      <c r="G69" s="48"/>
      <c r="H69" s="2"/>
      <c r="I69" s="48"/>
      <c r="J69" s="48"/>
      <c r="K69" s="48"/>
      <c r="L69" s="48"/>
      <c r="M69" s="48"/>
      <c r="N69" s="48"/>
    </row>
    <row r="70" spans="2:14" x14ac:dyDescent="0.2">
      <c r="B70" s="48"/>
      <c r="C70" s="48"/>
      <c r="D70" s="48"/>
      <c r="E70" s="48"/>
      <c r="F70" s="48"/>
      <c r="G70" s="48"/>
      <c r="H70" s="2"/>
      <c r="I70" s="48"/>
      <c r="J70" s="48"/>
      <c r="K70" s="48"/>
      <c r="L70" s="48"/>
      <c r="M70" s="48"/>
      <c r="N70" s="48"/>
    </row>
    <row r="71" spans="2:14" x14ac:dyDescent="0.2">
      <c r="B71" s="48"/>
      <c r="C71" s="48"/>
      <c r="D71" s="48"/>
      <c r="E71" s="48"/>
      <c r="F71" s="48"/>
      <c r="G71" s="48"/>
      <c r="H71" s="2"/>
      <c r="I71" s="48"/>
      <c r="J71" s="48"/>
      <c r="K71" s="48"/>
      <c r="L71" s="48"/>
      <c r="M71" s="48"/>
      <c r="N71" s="48"/>
    </row>
    <row r="72" spans="2:14" x14ac:dyDescent="0.2">
      <c r="B72" s="48"/>
      <c r="C72" s="48"/>
      <c r="D72" s="48"/>
      <c r="E72" s="48"/>
      <c r="F72" s="48"/>
      <c r="G72" s="48"/>
      <c r="H72" s="2"/>
      <c r="I72" s="48"/>
      <c r="J72" s="48"/>
      <c r="K72" s="48"/>
      <c r="L72" s="48"/>
      <c r="M72" s="48"/>
      <c r="N72" s="48"/>
    </row>
    <row r="73" spans="2:14" x14ac:dyDescent="0.2">
      <c r="B73" s="48"/>
      <c r="C73" s="48"/>
      <c r="D73" s="48"/>
      <c r="E73" s="48"/>
      <c r="F73" s="48"/>
      <c r="G73" s="48"/>
      <c r="H73" s="2"/>
      <c r="I73" s="48"/>
      <c r="J73" s="48"/>
      <c r="K73" s="48"/>
      <c r="L73" s="48"/>
      <c r="M73" s="48"/>
      <c r="N73" s="48"/>
    </row>
    <row r="75" spans="2:14" x14ac:dyDescent="0.2">
      <c r="B75" s="40" t="s">
        <v>16</v>
      </c>
      <c r="C75" s="41"/>
      <c r="D75" s="46" t="str">
        <f>K58</f>
        <v>12/11</v>
      </c>
      <c r="E75" s="44"/>
      <c r="F75" s="44"/>
      <c r="G75" s="41"/>
      <c r="H75" s="2"/>
      <c r="I75" s="40" t="s">
        <v>16</v>
      </c>
      <c r="J75" s="41"/>
      <c r="K75" s="46" t="str">
        <f>D75</f>
        <v>12/11</v>
      </c>
      <c r="L75" s="44"/>
      <c r="M75" s="44"/>
      <c r="N75" s="41"/>
    </row>
    <row r="76" spans="2:14" x14ac:dyDescent="0.2">
      <c r="B76" s="42"/>
      <c r="C76" s="43"/>
      <c r="D76" s="42"/>
      <c r="E76" s="45"/>
      <c r="F76" s="45"/>
      <c r="G76" s="43"/>
      <c r="H76" s="2"/>
      <c r="I76" s="42"/>
      <c r="J76" s="43"/>
      <c r="K76" s="42"/>
      <c r="L76" s="45"/>
      <c r="M76" s="45"/>
      <c r="N76" s="43"/>
    </row>
    <row r="77" spans="2:14" x14ac:dyDescent="0.2">
      <c r="B77" s="40" t="s">
        <v>25</v>
      </c>
      <c r="C77" s="41"/>
      <c r="D77" s="46" t="str">
        <f>K60</f>
        <v>GS</v>
      </c>
      <c r="E77" s="44"/>
      <c r="F77" s="44"/>
      <c r="G77" s="41"/>
      <c r="H77" s="2"/>
      <c r="I77" s="40" t="s">
        <v>25</v>
      </c>
      <c r="J77" s="41"/>
      <c r="K77" s="46" t="str">
        <f>D77</f>
        <v>GS</v>
      </c>
      <c r="L77" s="44"/>
      <c r="M77" s="44"/>
      <c r="N77" s="41"/>
    </row>
    <row r="78" spans="2:14" x14ac:dyDescent="0.2">
      <c r="B78" s="42"/>
      <c r="C78" s="43"/>
      <c r="D78" s="42"/>
      <c r="E78" s="45"/>
      <c r="F78" s="45"/>
      <c r="G78" s="43"/>
      <c r="H78" s="2"/>
      <c r="I78" s="42"/>
      <c r="J78" s="43"/>
      <c r="K78" s="42"/>
      <c r="L78" s="45"/>
      <c r="M78" s="45"/>
      <c r="N78" s="43"/>
    </row>
    <row r="79" spans="2:14" ht="14.25" customHeight="1" x14ac:dyDescent="0.2">
      <c r="B79" s="40" t="s">
        <v>28</v>
      </c>
      <c r="C79" s="41"/>
      <c r="D79" s="40">
        <f>+K62+1</f>
        <v>9</v>
      </c>
      <c r="E79" s="44"/>
      <c r="F79" s="44"/>
      <c r="G79" s="41"/>
      <c r="H79" s="2"/>
      <c r="I79" s="40" t="s">
        <v>28</v>
      </c>
      <c r="J79" s="41"/>
      <c r="K79" s="40">
        <f>+D79+1</f>
        <v>10</v>
      </c>
      <c r="L79" s="44"/>
      <c r="M79" s="44"/>
      <c r="N79" s="41"/>
    </row>
    <row r="80" spans="2:14" ht="14.25" customHeight="1" x14ac:dyDescent="0.2">
      <c r="B80" s="42"/>
      <c r="C80" s="43"/>
      <c r="D80" s="42"/>
      <c r="E80" s="45"/>
      <c r="F80" s="45"/>
      <c r="G80" s="43"/>
      <c r="H80" s="2"/>
      <c r="I80" s="42"/>
      <c r="J80" s="43"/>
      <c r="K80" s="42"/>
      <c r="L80" s="45"/>
      <c r="M80" s="45"/>
      <c r="N80" s="43"/>
    </row>
    <row r="81" spans="2:14" x14ac:dyDescent="0.2">
      <c r="B81" s="40" t="s">
        <v>29</v>
      </c>
      <c r="C81" s="41"/>
      <c r="D81" s="55" t="str">
        <f>_xlfn.CONCAT("*",B84,"*")</f>
        <v>*GS-9-12/11*</v>
      </c>
      <c r="E81" s="56"/>
      <c r="F81" s="56"/>
      <c r="G81" s="57"/>
      <c r="H81" s="2"/>
      <c r="I81" s="40" t="s">
        <v>29</v>
      </c>
      <c r="J81" s="41"/>
      <c r="K81" s="55" t="str">
        <f>_xlfn.CONCAT("*",I84,"*")</f>
        <v>*GS-10-12/11*</v>
      </c>
      <c r="L81" s="56"/>
      <c r="M81" s="56"/>
      <c r="N81" s="57"/>
    </row>
    <row r="82" spans="2:14" x14ac:dyDescent="0.2">
      <c r="B82" s="42"/>
      <c r="C82" s="43"/>
      <c r="D82" s="58"/>
      <c r="E82" s="59"/>
      <c r="F82" s="59"/>
      <c r="G82" s="60"/>
      <c r="H82" s="2"/>
      <c r="I82" s="42"/>
      <c r="J82" s="43"/>
      <c r="K82" s="58"/>
      <c r="L82" s="59"/>
      <c r="M82" s="59"/>
      <c r="N82" s="60"/>
    </row>
    <row r="83" spans="2:14" ht="13.5" x14ac:dyDescent="0.2">
      <c r="B83" s="47" t="s">
        <v>30</v>
      </c>
      <c r="C83" s="47"/>
      <c r="D83" s="47"/>
      <c r="E83" s="47"/>
      <c r="F83" s="47"/>
      <c r="G83" s="47"/>
      <c r="H83" s="2"/>
      <c r="I83" s="47" t="s">
        <v>30</v>
      </c>
      <c r="J83" s="47"/>
      <c r="K83" s="47"/>
      <c r="L83" s="47"/>
      <c r="M83" s="47"/>
      <c r="N83" s="47"/>
    </row>
    <row r="84" spans="2:14" x14ac:dyDescent="0.2">
      <c r="B84" s="48" t="str">
        <f>_xlfn.CONCAT(D77,"-",D79,"-",D75)</f>
        <v>GS-9-12/11</v>
      </c>
      <c r="C84" s="48"/>
      <c r="D84" s="48"/>
      <c r="E84" s="48"/>
      <c r="F84" s="48"/>
      <c r="G84" s="48"/>
      <c r="H84" s="2"/>
      <c r="I84" s="48" t="str">
        <f>_xlfn.CONCAT(K77,"-",K79,"-",K75)</f>
        <v>GS-10-12/11</v>
      </c>
      <c r="J84" s="48"/>
      <c r="K84" s="48"/>
      <c r="L84" s="48"/>
      <c r="M84" s="48"/>
      <c r="N84" s="48"/>
    </row>
    <row r="85" spans="2:14" x14ac:dyDescent="0.2">
      <c r="B85" s="48"/>
      <c r="C85" s="48"/>
      <c r="D85" s="48"/>
      <c r="E85" s="48"/>
      <c r="F85" s="48"/>
      <c r="G85" s="48"/>
      <c r="H85" s="2"/>
      <c r="I85" s="48"/>
      <c r="J85" s="48"/>
      <c r="K85" s="48"/>
      <c r="L85" s="48"/>
      <c r="M85" s="48"/>
      <c r="N85" s="48"/>
    </row>
    <row r="86" spans="2:14" x14ac:dyDescent="0.2">
      <c r="B86" s="48"/>
      <c r="C86" s="48"/>
      <c r="D86" s="48"/>
      <c r="E86" s="48"/>
      <c r="F86" s="48"/>
      <c r="G86" s="48"/>
      <c r="H86" s="2"/>
      <c r="I86" s="48"/>
      <c r="J86" s="48"/>
      <c r="K86" s="48"/>
      <c r="L86" s="48"/>
      <c r="M86" s="48"/>
      <c r="N86" s="48"/>
    </row>
    <row r="87" spans="2:14" x14ac:dyDescent="0.2">
      <c r="B87" s="48"/>
      <c r="C87" s="48"/>
      <c r="D87" s="48"/>
      <c r="E87" s="48"/>
      <c r="F87" s="48"/>
      <c r="G87" s="48"/>
      <c r="H87" s="2"/>
      <c r="I87" s="48"/>
      <c r="J87" s="48"/>
      <c r="K87" s="48"/>
      <c r="L87" s="48"/>
      <c r="M87" s="48"/>
      <c r="N87" s="48"/>
    </row>
    <row r="88" spans="2:14" x14ac:dyDescent="0.2">
      <c r="B88" s="48"/>
      <c r="C88" s="48"/>
      <c r="D88" s="48"/>
      <c r="E88" s="48"/>
      <c r="F88" s="48"/>
      <c r="G88" s="48"/>
      <c r="H88" s="2"/>
      <c r="I88" s="48"/>
      <c r="J88" s="48"/>
      <c r="K88" s="48"/>
      <c r="L88" s="48"/>
      <c r="M88" s="48"/>
      <c r="N88" s="48"/>
    </row>
    <row r="89" spans="2:14" x14ac:dyDescent="0.2">
      <c r="B89" s="48"/>
      <c r="C89" s="48"/>
      <c r="D89" s="48"/>
      <c r="E89" s="48"/>
      <c r="F89" s="48"/>
      <c r="G89" s="48"/>
      <c r="H89" s="2"/>
      <c r="I89" s="48"/>
      <c r="J89" s="48"/>
      <c r="K89" s="48"/>
      <c r="L89" s="48"/>
      <c r="M89" s="48"/>
      <c r="N89" s="48"/>
    </row>
    <row r="90" spans="2:14" x14ac:dyDescent="0.2">
      <c r="B90" s="48"/>
      <c r="C90" s="48"/>
      <c r="D90" s="48"/>
      <c r="E90" s="48"/>
      <c r="F90" s="48"/>
      <c r="G90" s="48"/>
      <c r="H90" s="2"/>
      <c r="I90" s="48"/>
      <c r="J90" s="48"/>
      <c r="K90" s="48"/>
      <c r="L90" s="48"/>
      <c r="M90" s="48"/>
      <c r="N90" s="48"/>
    </row>
    <row r="92" spans="2:14" x14ac:dyDescent="0.2">
      <c r="B92" s="40" t="s">
        <v>16</v>
      </c>
      <c r="C92" s="41"/>
      <c r="D92" s="46" t="str">
        <f>K75</f>
        <v>12/11</v>
      </c>
      <c r="E92" s="44"/>
      <c r="F92" s="44"/>
      <c r="G92" s="41"/>
      <c r="H92" s="2"/>
      <c r="I92" s="40" t="s">
        <v>16</v>
      </c>
      <c r="J92" s="41"/>
      <c r="K92" s="46" t="str">
        <f>D92</f>
        <v>12/11</v>
      </c>
      <c r="L92" s="44"/>
      <c r="M92" s="44"/>
      <c r="N92" s="41"/>
    </row>
    <row r="93" spans="2:14" x14ac:dyDescent="0.2">
      <c r="B93" s="42"/>
      <c r="C93" s="43"/>
      <c r="D93" s="42"/>
      <c r="E93" s="45"/>
      <c r="F93" s="45"/>
      <c r="G93" s="43"/>
      <c r="H93" s="2"/>
      <c r="I93" s="42"/>
      <c r="J93" s="43"/>
      <c r="K93" s="42"/>
      <c r="L93" s="45"/>
      <c r="M93" s="45"/>
      <c r="N93" s="43"/>
    </row>
    <row r="94" spans="2:14" x14ac:dyDescent="0.2">
      <c r="B94" s="40" t="s">
        <v>25</v>
      </c>
      <c r="C94" s="41"/>
      <c r="D94" s="46" t="str">
        <f>K77</f>
        <v>GS</v>
      </c>
      <c r="E94" s="44"/>
      <c r="F94" s="44"/>
      <c r="G94" s="41"/>
      <c r="H94" s="2"/>
      <c r="I94" s="40" t="s">
        <v>25</v>
      </c>
      <c r="J94" s="41"/>
      <c r="K94" s="46" t="str">
        <f>D94</f>
        <v>GS</v>
      </c>
      <c r="L94" s="44"/>
      <c r="M94" s="44"/>
      <c r="N94" s="41"/>
    </row>
    <row r="95" spans="2:14" x14ac:dyDescent="0.2">
      <c r="B95" s="42"/>
      <c r="C95" s="43"/>
      <c r="D95" s="42"/>
      <c r="E95" s="45"/>
      <c r="F95" s="45"/>
      <c r="G95" s="43"/>
      <c r="H95" s="2"/>
      <c r="I95" s="42"/>
      <c r="J95" s="43"/>
      <c r="K95" s="42"/>
      <c r="L95" s="45"/>
      <c r="M95" s="45"/>
      <c r="N95" s="43"/>
    </row>
    <row r="96" spans="2:14" ht="14.25" customHeight="1" x14ac:dyDescent="0.2">
      <c r="B96" s="40" t="s">
        <v>28</v>
      </c>
      <c r="C96" s="41"/>
      <c r="D96" s="40">
        <f>+K79+1</f>
        <v>11</v>
      </c>
      <c r="E96" s="44"/>
      <c r="F96" s="44"/>
      <c r="G96" s="41"/>
      <c r="H96" s="2"/>
      <c r="I96" s="40" t="s">
        <v>28</v>
      </c>
      <c r="J96" s="41"/>
      <c r="K96" s="40">
        <f>+D96+1</f>
        <v>12</v>
      </c>
      <c r="L96" s="44"/>
      <c r="M96" s="44"/>
      <c r="N96" s="41"/>
    </row>
    <row r="97" spans="2:14" ht="14.25" customHeight="1" x14ac:dyDescent="0.2">
      <c r="B97" s="42"/>
      <c r="C97" s="43"/>
      <c r="D97" s="42"/>
      <c r="E97" s="45"/>
      <c r="F97" s="45"/>
      <c r="G97" s="43"/>
      <c r="H97" s="2"/>
      <c r="I97" s="42"/>
      <c r="J97" s="43"/>
      <c r="K97" s="42"/>
      <c r="L97" s="45"/>
      <c r="M97" s="45"/>
      <c r="N97" s="43"/>
    </row>
    <row r="98" spans="2:14" x14ac:dyDescent="0.2">
      <c r="B98" s="40" t="s">
        <v>29</v>
      </c>
      <c r="C98" s="41"/>
      <c r="D98" s="55" t="str">
        <f>_xlfn.CONCAT("*",B101,"*")</f>
        <v>*GS-11-12/11*</v>
      </c>
      <c r="E98" s="56"/>
      <c r="F98" s="56"/>
      <c r="G98" s="57"/>
      <c r="H98" s="2"/>
      <c r="I98" s="40" t="s">
        <v>29</v>
      </c>
      <c r="J98" s="41"/>
      <c r="K98" s="55" t="str">
        <f>_xlfn.CONCAT("*",I101,"*")</f>
        <v>*GS-12-12/11*</v>
      </c>
      <c r="L98" s="56"/>
      <c r="M98" s="56"/>
      <c r="N98" s="57"/>
    </row>
    <row r="99" spans="2:14" x14ac:dyDescent="0.2">
      <c r="B99" s="42"/>
      <c r="C99" s="43"/>
      <c r="D99" s="58"/>
      <c r="E99" s="59"/>
      <c r="F99" s="59"/>
      <c r="G99" s="60"/>
      <c r="H99" s="2"/>
      <c r="I99" s="42"/>
      <c r="J99" s="43"/>
      <c r="K99" s="58"/>
      <c r="L99" s="59"/>
      <c r="M99" s="59"/>
      <c r="N99" s="60"/>
    </row>
    <row r="100" spans="2:14" ht="13.5" x14ac:dyDescent="0.2">
      <c r="B100" s="47" t="s">
        <v>30</v>
      </c>
      <c r="C100" s="47"/>
      <c r="D100" s="47"/>
      <c r="E100" s="47"/>
      <c r="F100" s="47"/>
      <c r="G100" s="47"/>
      <c r="H100" s="2"/>
      <c r="I100" s="47" t="s">
        <v>30</v>
      </c>
      <c r="J100" s="47"/>
      <c r="K100" s="47"/>
      <c r="L100" s="47"/>
      <c r="M100" s="47"/>
      <c r="N100" s="47"/>
    </row>
    <row r="101" spans="2:14" x14ac:dyDescent="0.2">
      <c r="B101" s="48" t="str">
        <f>_xlfn.CONCAT(D94,"-",D96,"-",D92)</f>
        <v>GS-11-12/11</v>
      </c>
      <c r="C101" s="48"/>
      <c r="D101" s="48"/>
      <c r="E101" s="48"/>
      <c r="F101" s="48"/>
      <c r="G101" s="48"/>
      <c r="H101" s="2"/>
      <c r="I101" s="48" t="str">
        <f>_xlfn.CONCAT(K94,"-",K96,"-",K92)</f>
        <v>GS-12-12/11</v>
      </c>
      <c r="J101" s="48"/>
      <c r="K101" s="48"/>
      <c r="L101" s="48"/>
      <c r="M101" s="48"/>
      <c r="N101" s="48"/>
    </row>
    <row r="102" spans="2:14" x14ac:dyDescent="0.2">
      <c r="B102" s="48"/>
      <c r="C102" s="48"/>
      <c r="D102" s="48"/>
      <c r="E102" s="48"/>
      <c r="F102" s="48"/>
      <c r="G102" s="48"/>
      <c r="H102" s="2"/>
      <c r="I102" s="48"/>
      <c r="J102" s="48"/>
      <c r="K102" s="48"/>
      <c r="L102" s="48"/>
      <c r="M102" s="48"/>
      <c r="N102" s="48"/>
    </row>
    <row r="103" spans="2:14" x14ac:dyDescent="0.2">
      <c r="B103" s="48"/>
      <c r="C103" s="48"/>
      <c r="D103" s="48"/>
      <c r="E103" s="48"/>
      <c r="F103" s="48"/>
      <c r="G103" s="48"/>
      <c r="H103" s="2"/>
      <c r="I103" s="48"/>
      <c r="J103" s="48"/>
      <c r="K103" s="48"/>
      <c r="L103" s="48"/>
      <c r="M103" s="48"/>
      <c r="N103" s="48"/>
    </row>
    <row r="104" spans="2:14" x14ac:dyDescent="0.2">
      <c r="B104" s="48"/>
      <c r="C104" s="48"/>
      <c r="D104" s="48"/>
      <c r="E104" s="48"/>
      <c r="F104" s="48"/>
      <c r="G104" s="48"/>
      <c r="H104" s="2"/>
      <c r="I104" s="48"/>
      <c r="J104" s="48"/>
      <c r="K104" s="48"/>
      <c r="L104" s="48"/>
      <c r="M104" s="48"/>
      <c r="N104" s="48"/>
    </row>
    <row r="105" spans="2:14" x14ac:dyDescent="0.2">
      <c r="B105" s="48"/>
      <c r="C105" s="48"/>
      <c r="D105" s="48"/>
      <c r="E105" s="48"/>
      <c r="F105" s="48"/>
      <c r="G105" s="48"/>
      <c r="H105" s="2"/>
      <c r="I105" s="48"/>
      <c r="J105" s="48"/>
      <c r="K105" s="48"/>
      <c r="L105" s="48"/>
      <c r="M105" s="48"/>
      <c r="N105" s="48"/>
    </row>
    <row r="106" spans="2:14" x14ac:dyDescent="0.2">
      <c r="B106" s="48"/>
      <c r="C106" s="48"/>
      <c r="D106" s="48"/>
      <c r="E106" s="48"/>
      <c r="F106" s="48"/>
      <c r="G106" s="48"/>
      <c r="H106" s="2"/>
      <c r="I106" s="48"/>
      <c r="J106" s="48"/>
      <c r="K106" s="48"/>
      <c r="L106" s="48"/>
      <c r="M106" s="48"/>
      <c r="N106" s="48"/>
    </row>
    <row r="107" spans="2:14" x14ac:dyDescent="0.2">
      <c r="B107" s="48"/>
      <c r="C107" s="48"/>
      <c r="D107" s="48"/>
      <c r="E107" s="48"/>
      <c r="F107" s="48"/>
      <c r="G107" s="48"/>
      <c r="H107" s="2"/>
      <c r="I107" s="48"/>
      <c r="J107" s="48"/>
      <c r="K107" s="48"/>
      <c r="L107" s="48"/>
      <c r="M107" s="48"/>
      <c r="N107" s="48"/>
    </row>
    <row r="109" spans="2:14" x14ac:dyDescent="0.2">
      <c r="B109" s="40" t="s">
        <v>16</v>
      </c>
      <c r="C109" s="41"/>
      <c r="D109" s="46" t="str">
        <f>K92</f>
        <v>12/11</v>
      </c>
      <c r="E109" s="44"/>
      <c r="F109" s="44"/>
      <c r="G109" s="41"/>
      <c r="H109" s="2"/>
      <c r="I109" s="40" t="s">
        <v>16</v>
      </c>
      <c r="J109" s="41"/>
      <c r="K109" s="46" t="str">
        <f>D109</f>
        <v>12/11</v>
      </c>
      <c r="L109" s="44"/>
      <c r="M109" s="44"/>
      <c r="N109" s="41"/>
    </row>
    <row r="110" spans="2:14" x14ac:dyDescent="0.2">
      <c r="B110" s="42"/>
      <c r="C110" s="43"/>
      <c r="D110" s="42"/>
      <c r="E110" s="45"/>
      <c r="F110" s="45"/>
      <c r="G110" s="43"/>
      <c r="H110" s="2"/>
      <c r="I110" s="42"/>
      <c r="J110" s="43"/>
      <c r="K110" s="42"/>
      <c r="L110" s="45"/>
      <c r="M110" s="45"/>
      <c r="N110" s="43"/>
    </row>
    <row r="111" spans="2:14" x14ac:dyDescent="0.2">
      <c r="B111" s="40" t="s">
        <v>25</v>
      </c>
      <c r="C111" s="41"/>
      <c r="D111" s="46" t="str">
        <f>K94</f>
        <v>GS</v>
      </c>
      <c r="E111" s="44"/>
      <c r="F111" s="44"/>
      <c r="G111" s="41"/>
      <c r="H111" s="2"/>
      <c r="I111" s="40" t="s">
        <v>25</v>
      </c>
      <c r="J111" s="41"/>
      <c r="K111" s="46" t="str">
        <f>D111</f>
        <v>GS</v>
      </c>
      <c r="L111" s="44"/>
      <c r="M111" s="44"/>
      <c r="N111" s="41"/>
    </row>
    <row r="112" spans="2:14" x14ac:dyDescent="0.2">
      <c r="B112" s="42"/>
      <c r="C112" s="43"/>
      <c r="D112" s="42"/>
      <c r="E112" s="45"/>
      <c r="F112" s="45"/>
      <c r="G112" s="43"/>
      <c r="H112" s="2"/>
      <c r="I112" s="42"/>
      <c r="J112" s="43"/>
      <c r="K112" s="42"/>
      <c r="L112" s="45"/>
      <c r="M112" s="45"/>
      <c r="N112" s="43"/>
    </row>
    <row r="113" spans="2:14" ht="14.25" customHeight="1" x14ac:dyDescent="0.2">
      <c r="B113" s="40" t="s">
        <v>28</v>
      </c>
      <c r="C113" s="41"/>
      <c r="D113" s="40">
        <f>+K96+1</f>
        <v>13</v>
      </c>
      <c r="E113" s="44"/>
      <c r="F113" s="44"/>
      <c r="G113" s="41"/>
      <c r="H113" s="2"/>
      <c r="I113" s="40" t="s">
        <v>28</v>
      </c>
      <c r="J113" s="41"/>
      <c r="K113" s="40">
        <f>+D113+1</f>
        <v>14</v>
      </c>
      <c r="L113" s="44"/>
      <c r="M113" s="44"/>
      <c r="N113" s="41"/>
    </row>
    <row r="114" spans="2:14" ht="14.25" customHeight="1" x14ac:dyDescent="0.2">
      <c r="B114" s="42"/>
      <c r="C114" s="43"/>
      <c r="D114" s="42"/>
      <c r="E114" s="45"/>
      <c r="F114" s="45"/>
      <c r="G114" s="43"/>
      <c r="H114" s="2"/>
      <c r="I114" s="42"/>
      <c r="J114" s="43"/>
      <c r="K114" s="42"/>
      <c r="L114" s="45"/>
      <c r="M114" s="45"/>
      <c r="N114" s="43"/>
    </row>
    <row r="115" spans="2:14" x14ac:dyDescent="0.2">
      <c r="B115" s="40" t="s">
        <v>29</v>
      </c>
      <c r="C115" s="41"/>
      <c r="D115" s="55" t="str">
        <f>_xlfn.CONCAT("*",B118,"*")</f>
        <v>*GS-13-12/11*</v>
      </c>
      <c r="E115" s="56"/>
      <c r="F115" s="56"/>
      <c r="G115" s="57"/>
      <c r="H115" s="2"/>
      <c r="I115" s="40" t="s">
        <v>29</v>
      </c>
      <c r="J115" s="41"/>
      <c r="K115" s="55" t="str">
        <f>_xlfn.CONCAT("*",I118,"*")</f>
        <v>*GS-14-12/11*</v>
      </c>
      <c r="L115" s="56"/>
      <c r="M115" s="56"/>
      <c r="N115" s="57"/>
    </row>
    <row r="116" spans="2:14" x14ac:dyDescent="0.2">
      <c r="B116" s="42"/>
      <c r="C116" s="43"/>
      <c r="D116" s="58"/>
      <c r="E116" s="59"/>
      <c r="F116" s="59"/>
      <c r="G116" s="60"/>
      <c r="H116" s="2"/>
      <c r="I116" s="42"/>
      <c r="J116" s="43"/>
      <c r="K116" s="58"/>
      <c r="L116" s="59"/>
      <c r="M116" s="59"/>
      <c r="N116" s="60"/>
    </row>
    <row r="117" spans="2:14" ht="13.5" x14ac:dyDescent="0.2">
      <c r="B117" s="47" t="s">
        <v>30</v>
      </c>
      <c r="C117" s="47"/>
      <c r="D117" s="47"/>
      <c r="E117" s="47"/>
      <c r="F117" s="47"/>
      <c r="G117" s="47"/>
      <c r="H117" s="2"/>
      <c r="I117" s="47" t="s">
        <v>30</v>
      </c>
      <c r="J117" s="47"/>
      <c r="K117" s="47"/>
      <c r="L117" s="47"/>
      <c r="M117" s="47"/>
      <c r="N117" s="47"/>
    </row>
    <row r="118" spans="2:14" x14ac:dyDescent="0.2">
      <c r="B118" s="48" t="str">
        <f>_xlfn.CONCAT(D111,"-",D113,"-",D109)</f>
        <v>GS-13-12/11</v>
      </c>
      <c r="C118" s="48"/>
      <c r="D118" s="48"/>
      <c r="E118" s="48"/>
      <c r="F118" s="48"/>
      <c r="G118" s="48"/>
      <c r="H118" s="2"/>
      <c r="I118" s="48" t="str">
        <f>_xlfn.CONCAT(K111,"-",K113,"-",K109)</f>
        <v>GS-14-12/11</v>
      </c>
      <c r="J118" s="48"/>
      <c r="K118" s="48"/>
      <c r="L118" s="48"/>
      <c r="M118" s="48"/>
      <c r="N118" s="48"/>
    </row>
    <row r="119" spans="2:14" x14ac:dyDescent="0.2">
      <c r="B119" s="48"/>
      <c r="C119" s="48"/>
      <c r="D119" s="48"/>
      <c r="E119" s="48"/>
      <c r="F119" s="48"/>
      <c r="G119" s="48"/>
      <c r="H119" s="2"/>
      <c r="I119" s="48"/>
      <c r="J119" s="48"/>
      <c r="K119" s="48"/>
      <c r="L119" s="48"/>
      <c r="M119" s="48"/>
      <c r="N119" s="48"/>
    </row>
    <row r="120" spans="2:14" x14ac:dyDescent="0.2">
      <c r="B120" s="48"/>
      <c r="C120" s="48"/>
      <c r="D120" s="48"/>
      <c r="E120" s="48"/>
      <c r="F120" s="48"/>
      <c r="G120" s="48"/>
      <c r="H120" s="2"/>
      <c r="I120" s="48"/>
      <c r="J120" s="48"/>
      <c r="K120" s="48"/>
      <c r="L120" s="48"/>
      <c r="M120" s="48"/>
      <c r="N120" s="48"/>
    </row>
    <row r="121" spans="2:14" x14ac:dyDescent="0.2">
      <c r="B121" s="48"/>
      <c r="C121" s="48"/>
      <c r="D121" s="48"/>
      <c r="E121" s="48"/>
      <c r="F121" s="48"/>
      <c r="G121" s="48"/>
      <c r="H121" s="2"/>
      <c r="I121" s="48"/>
      <c r="J121" s="48"/>
      <c r="K121" s="48"/>
      <c r="L121" s="48"/>
      <c r="M121" s="48"/>
      <c r="N121" s="48"/>
    </row>
    <row r="122" spans="2:14" x14ac:dyDescent="0.2">
      <c r="B122" s="48"/>
      <c r="C122" s="48"/>
      <c r="D122" s="48"/>
      <c r="E122" s="48"/>
      <c r="F122" s="48"/>
      <c r="G122" s="48"/>
      <c r="H122" s="2"/>
      <c r="I122" s="48"/>
      <c r="J122" s="48"/>
      <c r="K122" s="48"/>
      <c r="L122" s="48"/>
      <c r="M122" s="48"/>
      <c r="N122" s="48"/>
    </row>
    <row r="123" spans="2:14" x14ac:dyDescent="0.2">
      <c r="B123" s="48"/>
      <c r="C123" s="48"/>
      <c r="D123" s="48"/>
      <c r="E123" s="48"/>
      <c r="F123" s="48"/>
      <c r="G123" s="48"/>
      <c r="H123" s="2"/>
      <c r="I123" s="48"/>
      <c r="J123" s="48"/>
      <c r="K123" s="48"/>
      <c r="L123" s="48"/>
      <c r="M123" s="48"/>
      <c r="N123" s="48"/>
    </row>
    <row r="124" spans="2:14" x14ac:dyDescent="0.2">
      <c r="B124" s="48"/>
      <c r="C124" s="48"/>
      <c r="D124" s="48"/>
      <c r="E124" s="48"/>
      <c r="F124" s="48"/>
      <c r="G124" s="48"/>
      <c r="H124" s="2"/>
      <c r="I124" s="48"/>
      <c r="J124" s="48"/>
      <c r="K124" s="48"/>
      <c r="L124" s="48"/>
      <c r="M124" s="48"/>
      <c r="N124" s="48"/>
    </row>
    <row r="126" spans="2:14" x14ac:dyDescent="0.2">
      <c r="B126" s="40" t="s">
        <v>16</v>
      </c>
      <c r="C126" s="41"/>
      <c r="D126" s="46" t="str">
        <f>K109</f>
        <v>12/11</v>
      </c>
      <c r="E126" s="44"/>
      <c r="F126" s="44"/>
      <c r="G126" s="41"/>
      <c r="H126" s="2"/>
      <c r="I126" s="40" t="s">
        <v>16</v>
      </c>
      <c r="J126" s="41"/>
      <c r="K126" s="46" t="str">
        <f>D126</f>
        <v>12/11</v>
      </c>
      <c r="L126" s="44"/>
      <c r="M126" s="44"/>
      <c r="N126" s="41"/>
    </row>
    <row r="127" spans="2:14" x14ac:dyDescent="0.2">
      <c r="B127" s="42"/>
      <c r="C127" s="43"/>
      <c r="D127" s="42"/>
      <c r="E127" s="45"/>
      <c r="F127" s="45"/>
      <c r="G127" s="43"/>
      <c r="H127" s="2"/>
      <c r="I127" s="42"/>
      <c r="J127" s="43"/>
      <c r="K127" s="42"/>
      <c r="L127" s="45"/>
      <c r="M127" s="45"/>
      <c r="N127" s="43"/>
    </row>
    <row r="128" spans="2:14" x14ac:dyDescent="0.2">
      <c r="B128" s="40" t="s">
        <v>25</v>
      </c>
      <c r="C128" s="41"/>
      <c r="D128" s="46" t="str">
        <f>K111</f>
        <v>GS</v>
      </c>
      <c r="E128" s="44"/>
      <c r="F128" s="44"/>
      <c r="G128" s="41"/>
      <c r="H128" s="2"/>
      <c r="I128" s="40" t="s">
        <v>25</v>
      </c>
      <c r="J128" s="41"/>
      <c r="K128" s="46" t="str">
        <f>D128</f>
        <v>GS</v>
      </c>
      <c r="L128" s="44"/>
      <c r="M128" s="44"/>
      <c r="N128" s="41"/>
    </row>
    <row r="129" spans="2:14" x14ac:dyDescent="0.2">
      <c r="B129" s="42"/>
      <c r="C129" s="43"/>
      <c r="D129" s="42"/>
      <c r="E129" s="45"/>
      <c r="F129" s="45"/>
      <c r="G129" s="43"/>
      <c r="H129" s="2"/>
      <c r="I129" s="42"/>
      <c r="J129" s="43"/>
      <c r="K129" s="42"/>
      <c r="L129" s="45"/>
      <c r="M129" s="45"/>
      <c r="N129" s="43"/>
    </row>
    <row r="130" spans="2:14" ht="14.25" customHeight="1" x14ac:dyDescent="0.2">
      <c r="B130" s="40" t="s">
        <v>28</v>
      </c>
      <c r="C130" s="41"/>
      <c r="D130" s="40">
        <f>+K113+1</f>
        <v>15</v>
      </c>
      <c r="E130" s="44"/>
      <c r="F130" s="44"/>
      <c r="G130" s="41"/>
      <c r="H130" s="2"/>
      <c r="I130" s="40" t="s">
        <v>28</v>
      </c>
      <c r="J130" s="41"/>
      <c r="K130" s="40">
        <f>+D130+1</f>
        <v>16</v>
      </c>
      <c r="L130" s="44"/>
      <c r="M130" s="44"/>
      <c r="N130" s="41"/>
    </row>
    <row r="131" spans="2:14" ht="14.25" customHeight="1" x14ac:dyDescent="0.2">
      <c r="B131" s="42"/>
      <c r="C131" s="43"/>
      <c r="D131" s="42"/>
      <c r="E131" s="45"/>
      <c r="F131" s="45"/>
      <c r="G131" s="43"/>
      <c r="H131" s="2"/>
      <c r="I131" s="42"/>
      <c r="J131" s="43"/>
      <c r="K131" s="42"/>
      <c r="L131" s="45"/>
      <c r="M131" s="45"/>
      <c r="N131" s="43"/>
    </row>
    <row r="132" spans="2:14" x14ac:dyDescent="0.2">
      <c r="B132" s="40" t="s">
        <v>29</v>
      </c>
      <c r="C132" s="41"/>
      <c r="D132" s="55" t="str">
        <f>_xlfn.CONCAT("*",B135,"*")</f>
        <v>*GS-15-12/11*</v>
      </c>
      <c r="E132" s="56"/>
      <c r="F132" s="56"/>
      <c r="G132" s="57"/>
      <c r="H132" s="2"/>
      <c r="I132" s="40" t="s">
        <v>29</v>
      </c>
      <c r="J132" s="41"/>
      <c r="K132" s="55" t="str">
        <f>_xlfn.CONCAT("*",I135,"*")</f>
        <v>*GS-16-12/11*</v>
      </c>
      <c r="L132" s="56"/>
      <c r="M132" s="56"/>
      <c r="N132" s="57"/>
    </row>
    <row r="133" spans="2:14" x14ac:dyDescent="0.2">
      <c r="B133" s="42"/>
      <c r="C133" s="43"/>
      <c r="D133" s="58"/>
      <c r="E133" s="59"/>
      <c r="F133" s="59"/>
      <c r="G133" s="60"/>
      <c r="H133" s="2"/>
      <c r="I133" s="42"/>
      <c r="J133" s="43"/>
      <c r="K133" s="58"/>
      <c r="L133" s="59"/>
      <c r="M133" s="59"/>
      <c r="N133" s="60"/>
    </row>
    <row r="134" spans="2:14" ht="13.5" x14ac:dyDescent="0.2">
      <c r="B134" s="47" t="s">
        <v>30</v>
      </c>
      <c r="C134" s="47"/>
      <c r="D134" s="47"/>
      <c r="E134" s="47"/>
      <c r="F134" s="47"/>
      <c r="G134" s="47"/>
      <c r="H134" s="2"/>
      <c r="I134" s="47" t="s">
        <v>30</v>
      </c>
      <c r="J134" s="47"/>
      <c r="K134" s="47"/>
      <c r="L134" s="47"/>
      <c r="M134" s="47"/>
      <c r="N134" s="47"/>
    </row>
    <row r="135" spans="2:14" x14ac:dyDescent="0.2">
      <c r="B135" s="48" t="str">
        <f>_xlfn.CONCAT(D128,"-",D130,"-",D126)</f>
        <v>GS-15-12/11</v>
      </c>
      <c r="C135" s="48"/>
      <c r="D135" s="48"/>
      <c r="E135" s="48"/>
      <c r="F135" s="48"/>
      <c r="G135" s="48"/>
      <c r="H135" s="2"/>
      <c r="I135" s="48" t="str">
        <f>_xlfn.CONCAT(K128,"-",K130,"-",K126)</f>
        <v>GS-16-12/11</v>
      </c>
      <c r="J135" s="48"/>
      <c r="K135" s="48"/>
      <c r="L135" s="48"/>
      <c r="M135" s="48"/>
      <c r="N135" s="48"/>
    </row>
    <row r="136" spans="2:14" x14ac:dyDescent="0.2">
      <c r="B136" s="48"/>
      <c r="C136" s="48"/>
      <c r="D136" s="48"/>
      <c r="E136" s="48"/>
      <c r="F136" s="48"/>
      <c r="G136" s="48"/>
      <c r="H136" s="2"/>
      <c r="I136" s="48"/>
      <c r="J136" s="48"/>
      <c r="K136" s="48"/>
      <c r="L136" s="48"/>
      <c r="M136" s="48"/>
      <c r="N136" s="48"/>
    </row>
    <row r="137" spans="2:14" x14ac:dyDescent="0.2">
      <c r="B137" s="48"/>
      <c r="C137" s="48"/>
      <c r="D137" s="48"/>
      <c r="E137" s="48"/>
      <c r="F137" s="48"/>
      <c r="G137" s="48"/>
      <c r="H137" s="2"/>
      <c r="I137" s="48"/>
      <c r="J137" s="48"/>
      <c r="K137" s="48"/>
      <c r="L137" s="48"/>
      <c r="M137" s="48"/>
      <c r="N137" s="48"/>
    </row>
    <row r="138" spans="2:14" x14ac:dyDescent="0.2">
      <c r="B138" s="48"/>
      <c r="C138" s="48"/>
      <c r="D138" s="48"/>
      <c r="E138" s="48"/>
      <c r="F138" s="48"/>
      <c r="G138" s="48"/>
      <c r="H138" s="2"/>
      <c r="I138" s="48"/>
      <c r="J138" s="48"/>
      <c r="K138" s="48"/>
      <c r="L138" s="48"/>
      <c r="M138" s="48"/>
      <c r="N138" s="48"/>
    </row>
    <row r="139" spans="2:14" x14ac:dyDescent="0.2">
      <c r="B139" s="48"/>
      <c r="C139" s="48"/>
      <c r="D139" s="48"/>
      <c r="E139" s="48"/>
      <c r="F139" s="48"/>
      <c r="G139" s="48"/>
      <c r="H139" s="2"/>
      <c r="I139" s="48"/>
      <c r="J139" s="48"/>
      <c r="K139" s="48"/>
      <c r="L139" s="48"/>
      <c r="M139" s="48"/>
      <c r="N139" s="48"/>
    </row>
    <row r="140" spans="2:14" x14ac:dyDescent="0.2">
      <c r="B140" s="48"/>
      <c r="C140" s="48"/>
      <c r="D140" s="48"/>
      <c r="E140" s="48"/>
      <c r="F140" s="48"/>
      <c r="G140" s="48"/>
      <c r="H140" s="2"/>
      <c r="I140" s="48"/>
      <c r="J140" s="48"/>
      <c r="K140" s="48"/>
      <c r="L140" s="48"/>
      <c r="M140" s="48"/>
      <c r="N140" s="48"/>
    </row>
    <row r="141" spans="2:14" x14ac:dyDescent="0.2">
      <c r="B141" s="48"/>
      <c r="C141" s="48"/>
      <c r="D141" s="48"/>
      <c r="E141" s="48"/>
      <c r="F141" s="48"/>
      <c r="G141" s="48"/>
      <c r="H141" s="2"/>
      <c r="I141" s="48"/>
      <c r="J141" s="48"/>
      <c r="K141" s="48"/>
      <c r="L141" s="48"/>
      <c r="M141" s="48"/>
      <c r="N141" s="48"/>
    </row>
    <row r="143" spans="2:14" x14ac:dyDescent="0.2">
      <c r="B143" s="40" t="s">
        <v>16</v>
      </c>
      <c r="C143" s="41"/>
      <c r="D143" s="46" t="str">
        <f>K126</f>
        <v>12/11</v>
      </c>
      <c r="E143" s="44"/>
      <c r="F143" s="44"/>
      <c r="G143" s="41"/>
      <c r="H143" s="2"/>
      <c r="I143" s="40" t="s">
        <v>16</v>
      </c>
      <c r="J143" s="41"/>
      <c r="K143" s="46" t="str">
        <f>D143</f>
        <v>12/11</v>
      </c>
      <c r="L143" s="44"/>
      <c r="M143" s="44"/>
      <c r="N143" s="41"/>
    </row>
    <row r="144" spans="2:14" x14ac:dyDescent="0.2">
      <c r="B144" s="42"/>
      <c r="C144" s="43"/>
      <c r="D144" s="42"/>
      <c r="E144" s="45"/>
      <c r="F144" s="45"/>
      <c r="G144" s="43"/>
      <c r="H144" s="2"/>
      <c r="I144" s="42"/>
      <c r="J144" s="43"/>
      <c r="K144" s="42"/>
      <c r="L144" s="45"/>
      <c r="M144" s="45"/>
      <c r="N144" s="43"/>
    </row>
    <row r="145" spans="2:14" x14ac:dyDescent="0.2">
      <c r="B145" s="40" t="s">
        <v>25</v>
      </c>
      <c r="C145" s="41"/>
      <c r="D145" s="46" t="str">
        <f>K128</f>
        <v>GS</v>
      </c>
      <c r="E145" s="44"/>
      <c r="F145" s="44"/>
      <c r="G145" s="41"/>
      <c r="H145" s="2"/>
      <c r="I145" s="40" t="s">
        <v>25</v>
      </c>
      <c r="J145" s="41"/>
      <c r="K145" s="46" t="str">
        <f>D145</f>
        <v>GS</v>
      </c>
      <c r="L145" s="44"/>
      <c r="M145" s="44"/>
      <c r="N145" s="41"/>
    </row>
    <row r="146" spans="2:14" x14ac:dyDescent="0.2">
      <c r="B146" s="42"/>
      <c r="C146" s="43"/>
      <c r="D146" s="42"/>
      <c r="E146" s="45"/>
      <c r="F146" s="45"/>
      <c r="G146" s="43"/>
      <c r="H146" s="2"/>
      <c r="I146" s="42"/>
      <c r="J146" s="43"/>
      <c r="K146" s="42"/>
      <c r="L146" s="45"/>
      <c r="M146" s="45"/>
      <c r="N146" s="43"/>
    </row>
    <row r="147" spans="2:14" ht="14.25" customHeight="1" x14ac:dyDescent="0.2">
      <c r="B147" s="40" t="s">
        <v>28</v>
      </c>
      <c r="C147" s="41"/>
      <c r="D147" s="40">
        <f>+K130+1</f>
        <v>17</v>
      </c>
      <c r="E147" s="44"/>
      <c r="F147" s="44"/>
      <c r="G147" s="41"/>
      <c r="H147" s="2"/>
      <c r="I147" s="40" t="s">
        <v>28</v>
      </c>
      <c r="J147" s="41"/>
      <c r="K147" s="40">
        <f>+D147+1</f>
        <v>18</v>
      </c>
      <c r="L147" s="44"/>
      <c r="M147" s="44"/>
      <c r="N147" s="41"/>
    </row>
    <row r="148" spans="2:14" ht="14.25" customHeight="1" x14ac:dyDescent="0.2">
      <c r="B148" s="42"/>
      <c r="C148" s="43"/>
      <c r="D148" s="42"/>
      <c r="E148" s="45"/>
      <c r="F148" s="45"/>
      <c r="G148" s="43"/>
      <c r="H148" s="2"/>
      <c r="I148" s="42"/>
      <c r="J148" s="43"/>
      <c r="K148" s="42"/>
      <c r="L148" s="45"/>
      <c r="M148" s="45"/>
      <c r="N148" s="43"/>
    </row>
    <row r="149" spans="2:14" x14ac:dyDescent="0.2">
      <c r="B149" s="40" t="s">
        <v>29</v>
      </c>
      <c r="C149" s="41"/>
      <c r="D149" s="55" t="str">
        <f>_xlfn.CONCAT("*",B152,"*")</f>
        <v>*GS-17-12/11*</v>
      </c>
      <c r="E149" s="56"/>
      <c r="F149" s="56"/>
      <c r="G149" s="57"/>
      <c r="H149" s="2"/>
      <c r="I149" s="40" t="s">
        <v>29</v>
      </c>
      <c r="J149" s="41"/>
      <c r="K149" s="55" t="str">
        <f>_xlfn.CONCAT("*",I152,"*")</f>
        <v>*GS-18-12/11*</v>
      </c>
      <c r="L149" s="56"/>
      <c r="M149" s="56"/>
      <c r="N149" s="57"/>
    </row>
    <row r="150" spans="2:14" x14ac:dyDescent="0.2">
      <c r="B150" s="42"/>
      <c r="C150" s="43"/>
      <c r="D150" s="58"/>
      <c r="E150" s="59"/>
      <c r="F150" s="59"/>
      <c r="G150" s="60"/>
      <c r="H150" s="2"/>
      <c r="I150" s="42"/>
      <c r="J150" s="43"/>
      <c r="K150" s="58"/>
      <c r="L150" s="59"/>
      <c r="M150" s="59"/>
      <c r="N150" s="60"/>
    </row>
    <row r="151" spans="2:14" ht="13.5" x14ac:dyDescent="0.2">
      <c r="B151" s="47" t="s">
        <v>30</v>
      </c>
      <c r="C151" s="47"/>
      <c r="D151" s="47"/>
      <c r="E151" s="47"/>
      <c r="F151" s="47"/>
      <c r="G151" s="47"/>
      <c r="H151" s="2"/>
      <c r="I151" s="47" t="s">
        <v>30</v>
      </c>
      <c r="J151" s="47"/>
      <c r="K151" s="47"/>
      <c r="L151" s="47"/>
      <c r="M151" s="47"/>
      <c r="N151" s="47"/>
    </row>
    <row r="152" spans="2:14" x14ac:dyDescent="0.2">
      <c r="B152" s="48" t="str">
        <f>_xlfn.CONCAT(D145,"-",D147,"-",D143)</f>
        <v>GS-17-12/11</v>
      </c>
      <c r="C152" s="48"/>
      <c r="D152" s="48"/>
      <c r="E152" s="48"/>
      <c r="F152" s="48"/>
      <c r="G152" s="48"/>
      <c r="H152" s="2"/>
      <c r="I152" s="48" t="str">
        <f>_xlfn.CONCAT(K145,"-",K147,"-",K143)</f>
        <v>GS-18-12/11</v>
      </c>
      <c r="J152" s="48"/>
      <c r="K152" s="48"/>
      <c r="L152" s="48"/>
      <c r="M152" s="48"/>
      <c r="N152" s="48"/>
    </row>
    <row r="153" spans="2:14" x14ac:dyDescent="0.2">
      <c r="B153" s="48"/>
      <c r="C153" s="48"/>
      <c r="D153" s="48"/>
      <c r="E153" s="48"/>
      <c r="F153" s="48"/>
      <c r="G153" s="48"/>
      <c r="H153" s="2"/>
      <c r="I153" s="48"/>
      <c r="J153" s="48"/>
      <c r="K153" s="48"/>
      <c r="L153" s="48"/>
      <c r="M153" s="48"/>
      <c r="N153" s="48"/>
    </row>
    <row r="154" spans="2:14" x14ac:dyDescent="0.2">
      <c r="B154" s="48"/>
      <c r="C154" s="48"/>
      <c r="D154" s="48"/>
      <c r="E154" s="48"/>
      <c r="F154" s="48"/>
      <c r="G154" s="48"/>
      <c r="H154" s="2"/>
      <c r="I154" s="48"/>
      <c r="J154" s="48"/>
      <c r="K154" s="48"/>
      <c r="L154" s="48"/>
      <c r="M154" s="48"/>
      <c r="N154" s="48"/>
    </row>
    <row r="155" spans="2:14" x14ac:dyDescent="0.2">
      <c r="B155" s="48"/>
      <c r="C155" s="48"/>
      <c r="D155" s="48"/>
      <c r="E155" s="48"/>
      <c r="F155" s="48"/>
      <c r="G155" s="48"/>
      <c r="H155" s="2"/>
      <c r="I155" s="48"/>
      <c r="J155" s="48"/>
      <c r="K155" s="48"/>
      <c r="L155" s="48"/>
      <c r="M155" s="48"/>
      <c r="N155" s="48"/>
    </row>
    <row r="156" spans="2:14" x14ac:dyDescent="0.2">
      <c r="B156" s="48"/>
      <c r="C156" s="48"/>
      <c r="D156" s="48"/>
      <c r="E156" s="48"/>
      <c r="F156" s="48"/>
      <c r="G156" s="48"/>
      <c r="H156" s="2"/>
      <c r="I156" s="48"/>
      <c r="J156" s="48"/>
      <c r="K156" s="48"/>
      <c r="L156" s="48"/>
      <c r="M156" s="48"/>
      <c r="N156" s="48"/>
    </row>
    <row r="157" spans="2:14" x14ac:dyDescent="0.2">
      <c r="B157" s="48"/>
      <c r="C157" s="48"/>
      <c r="D157" s="48"/>
      <c r="E157" s="48"/>
      <c r="F157" s="48"/>
      <c r="G157" s="48"/>
      <c r="H157" s="2"/>
      <c r="I157" s="48"/>
      <c r="J157" s="48"/>
      <c r="K157" s="48"/>
      <c r="L157" s="48"/>
      <c r="M157" s="48"/>
      <c r="N157" s="48"/>
    </row>
    <row r="158" spans="2:14" x14ac:dyDescent="0.2">
      <c r="B158" s="48"/>
      <c r="C158" s="48"/>
      <c r="D158" s="48"/>
      <c r="E158" s="48"/>
      <c r="F158" s="48"/>
      <c r="G158" s="48"/>
      <c r="H158" s="2"/>
      <c r="I158" s="48"/>
      <c r="J158" s="48"/>
      <c r="K158" s="48"/>
      <c r="L158" s="48"/>
      <c r="M158" s="48"/>
      <c r="N158" s="48"/>
    </row>
    <row r="160" spans="2:14" x14ac:dyDescent="0.2">
      <c r="B160" s="40" t="s">
        <v>16</v>
      </c>
      <c r="C160" s="41"/>
      <c r="D160" s="46" t="str">
        <f>K143</f>
        <v>12/11</v>
      </c>
      <c r="E160" s="44"/>
      <c r="F160" s="44"/>
      <c r="G160" s="41"/>
      <c r="H160" s="2"/>
      <c r="I160" s="40" t="s">
        <v>16</v>
      </c>
      <c r="J160" s="41"/>
      <c r="K160" s="46" t="str">
        <f>D160</f>
        <v>12/11</v>
      </c>
      <c r="L160" s="44"/>
      <c r="M160" s="44"/>
      <c r="N160" s="41"/>
    </row>
    <row r="161" spans="2:14" x14ac:dyDescent="0.2">
      <c r="B161" s="42"/>
      <c r="C161" s="43"/>
      <c r="D161" s="42"/>
      <c r="E161" s="45"/>
      <c r="F161" s="45"/>
      <c r="G161" s="43"/>
      <c r="H161" s="2"/>
      <c r="I161" s="42"/>
      <c r="J161" s="43"/>
      <c r="K161" s="42"/>
      <c r="L161" s="45"/>
      <c r="M161" s="45"/>
      <c r="N161" s="43"/>
    </row>
    <row r="162" spans="2:14" x14ac:dyDescent="0.2">
      <c r="B162" s="40" t="s">
        <v>25</v>
      </c>
      <c r="C162" s="41"/>
      <c r="D162" s="46" t="str">
        <f>K145</f>
        <v>GS</v>
      </c>
      <c r="E162" s="44"/>
      <c r="F162" s="44"/>
      <c r="G162" s="41"/>
      <c r="H162" s="2"/>
      <c r="I162" s="40" t="s">
        <v>25</v>
      </c>
      <c r="J162" s="41"/>
      <c r="K162" s="46" t="str">
        <f>D162</f>
        <v>GS</v>
      </c>
      <c r="L162" s="44"/>
      <c r="M162" s="44"/>
      <c r="N162" s="41"/>
    </row>
    <row r="163" spans="2:14" x14ac:dyDescent="0.2">
      <c r="B163" s="42"/>
      <c r="C163" s="43"/>
      <c r="D163" s="42"/>
      <c r="E163" s="45"/>
      <c r="F163" s="45"/>
      <c r="G163" s="43"/>
      <c r="H163" s="2"/>
      <c r="I163" s="42"/>
      <c r="J163" s="43"/>
      <c r="K163" s="42"/>
      <c r="L163" s="45"/>
      <c r="M163" s="45"/>
      <c r="N163" s="43"/>
    </row>
    <row r="164" spans="2:14" ht="14.25" customHeight="1" x14ac:dyDescent="0.2">
      <c r="B164" s="40" t="s">
        <v>28</v>
      </c>
      <c r="C164" s="41"/>
      <c r="D164" s="40">
        <f>+K147+1</f>
        <v>19</v>
      </c>
      <c r="E164" s="44"/>
      <c r="F164" s="44"/>
      <c r="G164" s="41"/>
      <c r="H164" s="2"/>
      <c r="I164" s="40" t="s">
        <v>28</v>
      </c>
      <c r="J164" s="41"/>
      <c r="K164" s="40">
        <f>+D164+1</f>
        <v>20</v>
      </c>
      <c r="L164" s="44"/>
      <c r="M164" s="44"/>
      <c r="N164" s="41"/>
    </row>
    <row r="165" spans="2:14" ht="14.25" customHeight="1" x14ac:dyDescent="0.2">
      <c r="B165" s="42"/>
      <c r="C165" s="43"/>
      <c r="D165" s="42"/>
      <c r="E165" s="45"/>
      <c r="F165" s="45"/>
      <c r="G165" s="43"/>
      <c r="H165" s="2"/>
      <c r="I165" s="42"/>
      <c r="J165" s="43"/>
      <c r="K165" s="42"/>
      <c r="L165" s="45"/>
      <c r="M165" s="45"/>
      <c r="N165" s="43"/>
    </row>
    <row r="166" spans="2:14" x14ac:dyDescent="0.2">
      <c r="B166" s="40" t="s">
        <v>29</v>
      </c>
      <c r="C166" s="41"/>
      <c r="D166" s="55" t="str">
        <f>_xlfn.CONCAT("*",B169,"*")</f>
        <v>*GS-19-12/11*</v>
      </c>
      <c r="E166" s="56"/>
      <c r="F166" s="56"/>
      <c r="G166" s="57"/>
      <c r="H166" s="2"/>
      <c r="I166" s="40" t="s">
        <v>29</v>
      </c>
      <c r="J166" s="41"/>
      <c r="K166" s="55" t="str">
        <f>_xlfn.CONCAT("*",I169,"*")</f>
        <v>*GS-20-12/11*</v>
      </c>
      <c r="L166" s="56"/>
      <c r="M166" s="56"/>
      <c r="N166" s="57"/>
    </row>
    <row r="167" spans="2:14" x14ac:dyDescent="0.2">
      <c r="B167" s="42"/>
      <c r="C167" s="43"/>
      <c r="D167" s="58"/>
      <c r="E167" s="59"/>
      <c r="F167" s="59"/>
      <c r="G167" s="60"/>
      <c r="H167" s="2"/>
      <c r="I167" s="42"/>
      <c r="J167" s="43"/>
      <c r="K167" s="58"/>
      <c r="L167" s="59"/>
      <c r="M167" s="59"/>
      <c r="N167" s="60"/>
    </row>
    <row r="168" spans="2:14" ht="13.5" x14ac:dyDescent="0.2">
      <c r="B168" s="47" t="s">
        <v>30</v>
      </c>
      <c r="C168" s="47"/>
      <c r="D168" s="47"/>
      <c r="E168" s="47"/>
      <c r="F168" s="47"/>
      <c r="G168" s="47"/>
      <c r="H168" s="2"/>
      <c r="I168" s="47" t="s">
        <v>30</v>
      </c>
      <c r="J168" s="47"/>
      <c r="K168" s="47"/>
      <c r="L168" s="47"/>
      <c r="M168" s="47"/>
      <c r="N168" s="47"/>
    </row>
    <row r="169" spans="2:14" x14ac:dyDescent="0.2">
      <c r="B169" s="48" t="str">
        <f>_xlfn.CONCAT(D162,"-",D164,"-",D160)</f>
        <v>GS-19-12/11</v>
      </c>
      <c r="C169" s="48"/>
      <c r="D169" s="48"/>
      <c r="E169" s="48"/>
      <c r="F169" s="48"/>
      <c r="G169" s="48"/>
      <c r="H169" s="2"/>
      <c r="I169" s="48" t="str">
        <f>_xlfn.CONCAT(K162,"-",K164,"-",K160)</f>
        <v>GS-20-12/11</v>
      </c>
      <c r="J169" s="48"/>
      <c r="K169" s="48"/>
      <c r="L169" s="48"/>
      <c r="M169" s="48"/>
      <c r="N169" s="48"/>
    </row>
    <row r="170" spans="2:14" x14ac:dyDescent="0.2">
      <c r="B170" s="48"/>
      <c r="C170" s="48"/>
      <c r="D170" s="48"/>
      <c r="E170" s="48"/>
      <c r="F170" s="48"/>
      <c r="G170" s="48"/>
      <c r="H170" s="2"/>
      <c r="I170" s="48"/>
      <c r="J170" s="48"/>
      <c r="K170" s="48"/>
      <c r="L170" s="48"/>
      <c r="M170" s="48"/>
      <c r="N170" s="48"/>
    </row>
    <row r="171" spans="2:14" x14ac:dyDescent="0.2">
      <c r="B171" s="48"/>
      <c r="C171" s="48"/>
      <c r="D171" s="48"/>
      <c r="E171" s="48"/>
      <c r="F171" s="48"/>
      <c r="G171" s="48"/>
      <c r="H171" s="2"/>
      <c r="I171" s="48"/>
      <c r="J171" s="48"/>
      <c r="K171" s="48"/>
      <c r="L171" s="48"/>
      <c r="M171" s="48"/>
      <c r="N171" s="48"/>
    </row>
    <row r="172" spans="2:14" x14ac:dyDescent="0.2">
      <c r="B172" s="48"/>
      <c r="C172" s="48"/>
      <c r="D172" s="48"/>
      <c r="E172" s="48"/>
      <c r="F172" s="48"/>
      <c r="G172" s="48"/>
      <c r="H172" s="2"/>
      <c r="I172" s="48"/>
      <c r="J172" s="48"/>
      <c r="K172" s="48"/>
      <c r="L172" s="48"/>
      <c r="M172" s="48"/>
      <c r="N172" s="48"/>
    </row>
    <row r="173" spans="2:14" x14ac:dyDescent="0.2">
      <c r="B173" s="48"/>
      <c r="C173" s="48"/>
      <c r="D173" s="48"/>
      <c r="E173" s="48"/>
      <c r="F173" s="48"/>
      <c r="G173" s="48"/>
      <c r="H173" s="2"/>
      <c r="I173" s="48"/>
      <c r="J173" s="48"/>
      <c r="K173" s="48"/>
      <c r="L173" s="48"/>
      <c r="M173" s="48"/>
      <c r="N173" s="48"/>
    </row>
    <row r="174" spans="2:14" x14ac:dyDescent="0.2">
      <c r="B174" s="48"/>
      <c r="C174" s="48"/>
      <c r="D174" s="48"/>
      <c r="E174" s="48"/>
      <c r="F174" s="48"/>
      <c r="G174" s="48"/>
      <c r="H174" s="2"/>
      <c r="I174" s="48"/>
      <c r="J174" s="48"/>
      <c r="K174" s="48"/>
      <c r="L174" s="48"/>
      <c r="M174" s="48"/>
      <c r="N174" s="48"/>
    </row>
    <row r="175" spans="2:14" x14ac:dyDescent="0.2">
      <c r="B175" s="48"/>
      <c r="C175" s="48"/>
      <c r="D175" s="48"/>
      <c r="E175" s="48"/>
      <c r="F175" s="48"/>
      <c r="G175" s="48"/>
      <c r="H175" s="2"/>
      <c r="I175" s="48"/>
      <c r="J175" s="48"/>
      <c r="K175" s="48"/>
      <c r="L175" s="48"/>
      <c r="M175" s="48"/>
      <c r="N175" s="48"/>
    </row>
    <row r="177" spans="2:14" x14ac:dyDescent="0.2">
      <c r="B177" s="40" t="s">
        <v>16</v>
      </c>
      <c r="C177" s="41"/>
      <c r="D177" s="46" t="str">
        <f>K160</f>
        <v>12/11</v>
      </c>
      <c r="E177" s="44"/>
      <c r="F177" s="44"/>
      <c r="G177" s="41"/>
      <c r="H177" s="2"/>
      <c r="I177" s="40" t="s">
        <v>16</v>
      </c>
      <c r="J177" s="41"/>
      <c r="K177" s="46" t="str">
        <f>D177</f>
        <v>12/11</v>
      </c>
      <c r="L177" s="44"/>
      <c r="M177" s="44"/>
      <c r="N177" s="41"/>
    </row>
    <row r="178" spans="2:14" x14ac:dyDescent="0.2">
      <c r="B178" s="42"/>
      <c r="C178" s="43"/>
      <c r="D178" s="42"/>
      <c r="E178" s="45"/>
      <c r="F178" s="45"/>
      <c r="G178" s="43"/>
      <c r="H178" s="2"/>
      <c r="I178" s="42"/>
      <c r="J178" s="43"/>
      <c r="K178" s="42"/>
      <c r="L178" s="45"/>
      <c r="M178" s="45"/>
      <c r="N178" s="43"/>
    </row>
    <row r="179" spans="2:14" x14ac:dyDescent="0.2">
      <c r="B179" s="40" t="s">
        <v>25</v>
      </c>
      <c r="C179" s="41"/>
      <c r="D179" s="46" t="str">
        <f>K162</f>
        <v>GS</v>
      </c>
      <c r="E179" s="44"/>
      <c r="F179" s="44"/>
      <c r="G179" s="41"/>
      <c r="H179" s="2"/>
      <c r="I179" s="40" t="s">
        <v>25</v>
      </c>
      <c r="J179" s="41"/>
      <c r="K179" s="46" t="str">
        <f>D179</f>
        <v>GS</v>
      </c>
      <c r="L179" s="44"/>
      <c r="M179" s="44"/>
      <c r="N179" s="41"/>
    </row>
    <row r="180" spans="2:14" x14ac:dyDescent="0.2">
      <c r="B180" s="42"/>
      <c r="C180" s="43"/>
      <c r="D180" s="42"/>
      <c r="E180" s="45"/>
      <c r="F180" s="45"/>
      <c r="G180" s="43"/>
      <c r="H180" s="2"/>
      <c r="I180" s="42"/>
      <c r="J180" s="43"/>
      <c r="K180" s="42"/>
      <c r="L180" s="45"/>
      <c r="M180" s="45"/>
      <c r="N180" s="43"/>
    </row>
    <row r="181" spans="2:14" ht="14.25" customHeight="1" x14ac:dyDescent="0.2">
      <c r="B181" s="40" t="s">
        <v>28</v>
      </c>
      <c r="C181" s="41"/>
      <c r="D181" s="40">
        <f>+K164+1</f>
        <v>21</v>
      </c>
      <c r="E181" s="44"/>
      <c r="F181" s="44"/>
      <c r="G181" s="41"/>
      <c r="H181" s="2"/>
      <c r="I181" s="40" t="s">
        <v>28</v>
      </c>
      <c r="J181" s="41"/>
      <c r="K181" s="40">
        <f>+D181+1</f>
        <v>22</v>
      </c>
      <c r="L181" s="44"/>
      <c r="M181" s="44"/>
      <c r="N181" s="41"/>
    </row>
    <row r="182" spans="2:14" ht="14.25" customHeight="1" x14ac:dyDescent="0.2">
      <c r="B182" s="42"/>
      <c r="C182" s="43"/>
      <c r="D182" s="42"/>
      <c r="E182" s="45"/>
      <c r="F182" s="45"/>
      <c r="G182" s="43"/>
      <c r="H182" s="2"/>
      <c r="I182" s="42"/>
      <c r="J182" s="43"/>
      <c r="K182" s="42"/>
      <c r="L182" s="45"/>
      <c r="M182" s="45"/>
      <c r="N182" s="43"/>
    </row>
    <row r="183" spans="2:14" x14ac:dyDescent="0.2">
      <c r="B183" s="40" t="s">
        <v>29</v>
      </c>
      <c r="C183" s="41"/>
      <c r="D183" s="55" t="str">
        <f>_xlfn.CONCAT("*",B186,"*")</f>
        <v>*GS-21-12/11*</v>
      </c>
      <c r="E183" s="56"/>
      <c r="F183" s="56"/>
      <c r="G183" s="57"/>
      <c r="H183" s="2"/>
      <c r="I183" s="40" t="s">
        <v>29</v>
      </c>
      <c r="J183" s="41"/>
      <c r="K183" s="55" t="str">
        <f>_xlfn.CONCAT("*",I186,"*")</f>
        <v>*GS-22-12/11*</v>
      </c>
      <c r="L183" s="56"/>
      <c r="M183" s="56"/>
      <c r="N183" s="57"/>
    </row>
    <row r="184" spans="2:14" x14ac:dyDescent="0.2">
      <c r="B184" s="42"/>
      <c r="C184" s="43"/>
      <c r="D184" s="58"/>
      <c r="E184" s="59"/>
      <c r="F184" s="59"/>
      <c r="G184" s="60"/>
      <c r="H184" s="2"/>
      <c r="I184" s="42"/>
      <c r="J184" s="43"/>
      <c r="K184" s="58"/>
      <c r="L184" s="59"/>
      <c r="M184" s="59"/>
      <c r="N184" s="60"/>
    </row>
    <row r="185" spans="2:14" ht="13.5" x14ac:dyDescent="0.2">
      <c r="B185" s="47" t="s">
        <v>30</v>
      </c>
      <c r="C185" s="47"/>
      <c r="D185" s="47"/>
      <c r="E185" s="47"/>
      <c r="F185" s="47"/>
      <c r="G185" s="47"/>
      <c r="H185" s="2"/>
      <c r="I185" s="47" t="s">
        <v>30</v>
      </c>
      <c r="J185" s="47"/>
      <c r="K185" s="47"/>
      <c r="L185" s="47"/>
      <c r="M185" s="47"/>
      <c r="N185" s="47"/>
    </row>
    <row r="186" spans="2:14" x14ac:dyDescent="0.2">
      <c r="B186" s="48" t="str">
        <f>_xlfn.CONCAT(D179,"-",D181,"-",D177)</f>
        <v>GS-21-12/11</v>
      </c>
      <c r="C186" s="48"/>
      <c r="D186" s="48"/>
      <c r="E186" s="48"/>
      <c r="F186" s="48"/>
      <c r="G186" s="48"/>
      <c r="H186" s="2"/>
      <c r="I186" s="48" t="str">
        <f>_xlfn.CONCAT(K179,"-",K181,"-",K177)</f>
        <v>GS-22-12/11</v>
      </c>
      <c r="J186" s="48"/>
      <c r="K186" s="48"/>
      <c r="L186" s="48"/>
      <c r="M186" s="48"/>
      <c r="N186" s="48"/>
    </row>
    <row r="187" spans="2:14" x14ac:dyDescent="0.2">
      <c r="B187" s="48"/>
      <c r="C187" s="48"/>
      <c r="D187" s="48"/>
      <c r="E187" s="48"/>
      <c r="F187" s="48"/>
      <c r="G187" s="48"/>
      <c r="H187" s="2"/>
      <c r="I187" s="48"/>
      <c r="J187" s="48"/>
      <c r="K187" s="48"/>
      <c r="L187" s="48"/>
      <c r="M187" s="48"/>
      <c r="N187" s="48"/>
    </row>
    <row r="188" spans="2:14" x14ac:dyDescent="0.2">
      <c r="B188" s="48"/>
      <c r="C188" s="48"/>
      <c r="D188" s="48"/>
      <c r="E188" s="48"/>
      <c r="F188" s="48"/>
      <c r="G188" s="48"/>
      <c r="H188" s="2"/>
      <c r="I188" s="48"/>
      <c r="J188" s="48"/>
      <c r="K188" s="48"/>
      <c r="L188" s="48"/>
      <c r="M188" s="48"/>
      <c r="N188" s="48"/>
    </row>
    <row r="189" spans="2:14" x14ac:dyDescent="0.2">
      <c r="B189" s="48"/>
      <c r="C189" s="48"/>
      <c r="D189" s="48"/>
      <c r="E189" s="48"/>
      <c r="F189" s="48"/>
      <c r="G189" s="48"/>
      <c r="H189" s="2"/>
      <c r="I189" s="48"/>
      <c r="J189" s="48"/>
      <c r="K189" s="48"/>
      <c r="L189" s="48"/>
      <c r="M189" s="48"/>
      <c r="N189" s="48"/>
    </row>
    <row r="190" spans="2:14" x14ac:dyDescent="0.2">
      <c r="B190" s="48"/>
      <c r="C190" s="48"/>
      <c r="D190" s="48"/>
      <c r="E190" s="48"/>
      <c r="F190" s="48"/>
      <c r="G190" s="48"/>
      <c r="H190" s="2"/>
      <c r="I190" s="48"/>
      <c r="J190" s="48"/>
      <c r="K190" s="48"/>
      <c r="L190" s="48"/>
      <c r="M190" s="48"/>
      <c r="N190" s="48"/>
    </row>
    <row r="191" spans="2:14" x14ac:dyDescent="0.2">
      <c r="B191" s="48"/>
      <c r="C191" s="48"/>
      <c r="D191" s="48"/>
      <c r="E191" s="48"/>
      <c r="F191" s="48"/>
      <c r="G191" s="48"/>
      <c r="H191" s="2"/>
      <c r="I191" s="48"/>
      <c r="J191" s="48"/>
      <c r="K191" s="48"/>
      <c r="L191" s="48"/>
      <c r="M191" s="48"/>
      <c r="N191" s="48"/>
    </row>
    <row r="192" spans="2:14" x14ac:dyDescent="0.2">
      <c r="B192" s="48"/>
      <c r="C192" s="48"/>
      <c r="D192" s="48"/>
      <c r="E192" s="48"/>
      <c r="F192" s="48"/>
      <c r="G192" s="48"/>
      <c r="H192" s="2"/>
      <c r="I192" s="48"/>
      <c r="J192" s="48"/>
      <c r="K192" s="48"/>
      <c r="L192" s="48"/>
      <c r="M192" s="48"/>
      <c r="N192" s="48"/>
    </row>
    <row r="194" spans="2:14" x14ac:dyDescent="0.2">
      <c r="B194" s="40" t="s">
        <v>16</v>
      </c>
      <c r="C194" s="41"/>
      <c r="D194" s="46" t="str">
        <f>K177</f>
        <v>12/11</v>
      </c>
      <c r="E194" s="44"/>
      <c r="F194" s="44"/>
      <c r="G194" s="41"/>
      <c r="H194" s="2"/>
      <c r="I194" s="40" t="s">
        <v>16</v>
      </c>
      <c r="J194" s="41"/>
      <c r="K194" s="46" t="str">
        <f>D194</f>
        <v>12/11</v>
      </c>
      <c r="L194" s="44"/>
      <c r="M194" s="44"/>
      <c r="N194" s="41"/>
    </row>
    <row r="195" spans="2:14" x14ac:dyDescent="0.2">
      <c r="B195" s="42"/>
      <c r="C195" s="43"/>
      <c r="D195" s="42"/>
      <c r="E195" s="45"/>
      <c r="F195" s="45"/>
      <c r="G195" s="43"/>
      <c r="H195" s="2"/>
      <c r="I195" s="42"/>
      <c r="J195" s="43"/>
      <c r="K195" s="42"/>
      <c r="L195" s="45"/>
      <c r="M195" s="45"/>
      <c r="N195" s="43"/>
    </row>
    <row r="196" spans="2:14" x14ac:dyDescent="0.2">
      <c r="B196" s="40" t="s">
        <v>25</v>
      </c>
      <c r="C196" s="41"/>
      <c r="D196" s="46" t="str">
        <f>K179</f>
        <v>GS</v>
      </c>
      <c r="E196" s="44"/>
      <c r="F196" s="44"/>
      <c r="G196" s="41"/>
      <c r="H196" s="2"/>
      <c r="I196" s="40" t="s">
        <v>25</v>
      </c>
      <c r="J196" s="41"/>
      <c r="K196" s="46" t="str">
        <f>D196</f>
        <v>GS</v>
      </c>
      <c r="L196" s="44"/>
      <c r="M196" s="44"/>
      <c r="N196" s="41"/>
    </row>
    <row r="197" spans="2:14" x14ac:dyDescent="0.2">
      <c r="B197" s="42"/>
      <c r="C197" s="43"/>
      <c r="D197" s="42"/>
      <c r="E197" s="45"/>
      <c r="F197" s="45"/>
      <c r="G197" s="43"/>
      <c r="H197" s="2"/>
      <c r="I197" s="42"/>
      <c r="J197" s="43"/>
      <c r="K197" s="42"/>
      <c r="L197" s="45"/>
      <c r="M197" s="45"/>
      <c r="N197" s="43"/>
    </row>
    <row r="198" spans="2:14" ht="14.25" customHeight="1" x14ac:dyDescent="0.2">
      <c r="B198" s="40" t="s">
        <v>28</v>
      </c>
      <c r="C198" s="41"/>
      <c r="D198" s="40">
        <f>+K181+1</f>
        <v>23</v>
      </c>
      <c r="E198" s="44"/>
      <c r="F198" s="44"/>
      <c r="G198" s="41"/>
      <c r="H198" s="2"/>
      <c r="I198" s="40" t="s">
        <v>28</v>
      </c>
      <c r="J198" s="41"/>
      <c r="K198" s="40">
        <f>+D198+1</f>
        <v>24</v>
      </c>
      <c r="L198" s="44"/>
      <c r="M198" s="44"/>
      <c r="N198" s="41"/>
    </row>
    <row r="199" spans="2:14" ht="14.25" customHeight="1" x14ac:dyDescent="0.2">
      <c r="B199" s="42"/>
      <c r="C199" s="43"/>
      <c r="D199" s="42"/>
      <c r="E199" s="45"/>
      <c r="F199" s="45"/>
      <c r="G199" s="43"/>
      <c r="H199" s="2"/>
      <c r="I199" s="42"/>
      <c r="J199" s="43"/>
      <c r="K199" s="42"/>
      <c r="L199" s="45"/>
      <c r="M199" s="45"/>
      <c r="N199" s="43"/>
    </row>
    <row r="200" spans="2:14" x14ac:dyDescent="0.2">
      <c r="B200" s="40" t="s">
        <v>29</v>
      </c>
      <c r="C200" s="41"/>
      <c r="D200" s="55" t="str">
        <f>_xlfn.CONCAT("*",B203,"*")</f>
        <v>*GS-23-12/11*</v>
      </c>
      <c r="E200" s="56"/>
      <c r="F200" s="56"/>
      <c r="G200" s="57"/>
      <c r="H200" s="2"/>
      <c r="I200" s="40" t="s">
        <v>29</v>
      </c>
      <c r="J200" s="41"/>
      <c r="K200" s="55" t="str">
        <f>_xlfn.CONCAT("*",I203,"*")</f>
        <v>*GS-24-12/11*</v>
      </c>
      <c r="L200" s="56"/>
      <c r="M200" s="56"/>
      <c r="N200" s="57"/>
    </row>
    <row r="201" spans="2:14" x14ac:dyDescent="0.2">
      <c r="B201" s="42"/>
      <c r="C201" s="43"/>
      <c r="D201" s="58"/>
      <c r="E201" s="59"/>
      <c r="F201" s="59"/>
      <c r="G201" s="60"/>
      <c r="H201" s="2"/>
      <c r="I201" s="42"/>
      <c r="J201" s="43"/>
      <c r="K201" s="58"/>
      <c r="L201" s="59"/>
      <c r="M201" s="59"/>
      <c r="N201" s="60"/>
    </row>
    <row r="202" spans="2:14" ht="13.5" x14ac:dyDescent="0.2">
      <c r="B202" s="47" t="s">
        <v>30</v>
      </c>
      <c r="C202" s="47"/>
      <c r="D202" s="47"/>
      <c r="E202" s="47"/>
      <c r="F202" s="47"/>
      <c r="G202" s="47"/>
      <c r="H202" s="2"/>
      <c r="I202" s="47" t="s">
        <v>30</v>
      </c>
      <c r="J202" s="47"/>
      <c r="K202" s="47"/>
      <c r="L202" s="47"/>
      <c r="M202" s="47"/>
      <c r="N202" s="47"/>
    </row>
    <row r="203" spans="2:14" x14ac:dyDescent="0.2">
      <c r="B203" s="48" t="str">
        <f>_xlfn.CONCAT(D196,"-",D198,"-",D194)</f>
        <v>GS-23-12/11</v>
      </c>
      <c r="C203" s="48"/>
      <c r="D203" s="48"/>
      <c r="E203" s="48"/>
      <c r="F203" s="48"/>
      <c r="G203" s="48"/>
      <c r="H203" s="2"/>
      <c r="I203" s="48" t="str">
        <f>_xlfn.CONCAT(K196,"-",K198,"-",K194)</f>
        <v>GS-24-12/11</v>
      </c>
      <c r="J203" s="48"/>
      <c r="K203" s="48"/>
      <c r="L203" s="48"/>
      <c r="M203" s="48"/>
      <c r="N203" s="48"/>
    </row>
    <row r="204" spans="2:14" x14ac:dyDescent="0.2">
      <c r="B204" s="48"/>
      <c r="C204" s="48"/>
      <c r="D204" s="48"/>
      <c r="E204" s="48"/>
      <c r="F204" s="48"/>
      <c r="G204" s="48"/>
      <c r="H204" s="2"/>
      <c r="I204" s="48"/>
      <c r="J204" s="48"/>
      <c r="K204" s="48"/>
      <c r="L204" s="48"/>
      <c r="M204" s="48"/>
      <c r="N204" s="48"/>
    </row>
    <row r="205" spans="2:14" x14ac:dyDescent="0.2">
      <c r="B205" s="48"/>
      <c r="C205" s="48"/>
      <c r="D205" s="48"/>
      <c r="E205" s="48"/>
      <c r="F205" s="48"/>
      <c r="G205" s="48"/>
      <c r="H205" s="2"/>
      <c r="I205" s="48"/>
      <c r="J205" s="48"/>
      <c r="K205" s="48"/>
      <c r="L205" s="48"/>
      <c r="M205" s="48"/>
      <c r="N205" s="48"/>
    </row>
    <row r="206" spans="2:14" x14ac:dyDescent="0.2">
      <c r="B206" s="48"/>
      <c r="C206" s="48"/>
      <c r="D206" s="48"/>
      <c r="E206" s="48"/>
      <c r="F206" s="48"/>
      <c r="G206" s="48"/>
      <c r="H206" s="2"/>
      <c r="I206" s="48"/>
      <c r="J206" s="48"/>
      <c r="K206" s="48"/>
      <c r="L206" s="48"/>
      <c r="M206" s="48"/>
      <c r="N206" s="48"/>
    </row>
    <row r="207" spans="2:14" x14ac:dyDescent="0.2">
      <c r="B207" s="48"/>
      <c r="C207" s="48"/>
      <c r="D207" s="48"/>
      <c r="E207" s="48"/>
      <c r="F207" s="48"/>
      <c r="G207" s="48"/>
      <c r="H207" s="2"/>
      <c r="I207" s="48"/>
      <c r="J207" s="48"/>
      <c r="K207" s="48"/>
      <c r="L207" s="48"/>
      <c r="M207" s="48"/>
      <c r="N207" s="48"/>
    </row>
    <row r="208" spans="2:14" x14ac:dyDescent="0.2">
      <c r="B208" s="48"/>
      <c r="C208" s="48"/>
      <c r="D208" s="48"/>
      <c r="E208" s="48"/>
      <c r="F208" s="48"/>
      <c r="G208" s="48"/>
      <c r="H208" s="2"/>
      <c r="I208" s="48"/>
      <c r="J208" s="48"/>
      <c r="K208" s="48"/>
      <c r="L208" s="48"/>
      <c r="M208" s="48"/>
      <c r="N208" s="48"/>
    </row>
    <row r="209" spans="2:14" x14ac:dyDescent="0.2">
      <c r="B209" s="48"/>
      <c r="C209" s="48"/>
      <c r="D209" s="48"/>
      <c r="E209" s="48"/>
      <c r="F209" s="48"/>
      <c r="G209" s="48"/>
      <c r="H209" s="2"/>
      <c r="I209" s="48"/>
      <c r="J209" s="48"/>
      <c r="K209" s="48"/>
      <c r="L209" s="48"/>
      <c r="M209" s="48"/>
      <c r="N209" s="48"/>
    </row>
    <row r="211" spans="2:14" x14ac:dyDescent="0.2">
      <c r="B211" s="40" t="s">
        <v>16</v>
      </c>
      <c r="C211" s="41"/>
      <c r="D211" s="46" t="str">
        <f>K194</f>
        <v>12/11</v>
      </c>
      <c r="E211" s="44"/>
      <c r="F211" s="44"/>
      <c r="G211" s="41"/>
      <c r="H211" s="2"/>
      <c r="I211" s="40" t="s">
        <v>16</v>
      </c>
      <c r="J211" s="41"/>
      <c r="K211" s="46" t="str">
        <f>D211</f>
        <v>12/11</v>
      </c>
      <c r="L211" s="44"/>
      <c r="M211" s="44"/>
      <c r="N211" s="41"/>
    </row>
    <row r="212" spans="2:14" x14ac:dyDescent="0.2">
      <c r="B212" s="42"/>
      <c r="C212" s="43"/>
      <c r="D212" s="42"/>
      <c r="E212" s="45"/>
      <c r="F212" s="45"/>
      <c r="G212" s="43"/>
      <c r="H212" s="2"/>
      <c r="I212" s="42"/>
      <c r="J212" s="43"/>
      <c r="K212" s="42"/>
      <c r="L212" s="45"/>
      <c r="M212" s="45"/>
      <c r="N212" s="43"/>
    </row>
    <row r="213" spans="2:14" x14ac:dyDescent="0.2">
      <c r="B213" s="40" t="s">
        <v>25</v>
      </c>
      <c r="C213" s="41"/>
      <c r="D213" s="46" t="str">
        <f>K196</f>
        <v>GS</v>
      </c>
      <c r="E213" s="44"/>
      <c r="F213" s="44"/>
      <c r="G213" s="41"/>
      <c r="H213" s="2"/>
      <c r="I213" s="40" t="s">
        <v>25</v>
      </c>
      <c r="J213" s="41"/>
      <c r="K213" s="46" t="str">
        <f>D213</f>
        <v>GS</v>
      </c>
      <c r="L213" s="44"/>
      <c r="M213" s="44"/>
      <c r="N213" s="41"/>
    </row>
    <row r="214" spans="2:14" x14ac:dyDescent="0.2">
      <c r="B214" s="42"/>
      <c r="C214" s="43"/>
      <c r="D214" s="42"/>
      <c r="E214" s="45"/>
      <c r="F214" s="45"/>
      <c r="G214" s="43"/>
      <c r="H214" s="2"/>
      <c r="I214" s="42"/>
      <c r="J214" s="43"/>
      <c r="K214" s="42"/>
      <c r="L214" s="45"/>
      <c r="M214" s="45"/>
      <c r="N214" s="43"/>
    </row>
    <row r="215" spans="2:14" ht="14.25" customHeight="1" x14ac:dyDescent="0.2">
      <c r="B215" s="40" t="s">
        <v>28</v>
      </c>
      <c r="C215" s="41"/>
      <c r="D215" s="40">
        <f>+K198+1</f>
        <v>25</v>
      </c>
      <c r="E215" s="44"/>
      <c r="F215" s="44"/>
      <c r="G215" s="41"/>
      <c r="H215" s="2"/>
      <c r="I215" s="40" t="s">
        <v>28</v>
      </c>
      <c r="J215" s="41"/>
      <c r="K215" s="40">
        <f>+D215+1</f>
        <v>26</v>
      </c>
      <c r="L215" s="44"/>
      <c r="M215" s="44"/>
      <c r="N215" s="41"/>
    </row>
    <row r="216" spans="2:14" ht="14.25" customHeight="1" x14ac:dyDescent="0.2">
      <c r="B216" s="42"/>
      <c r="C216" s="43"/>
      <c r="D216" s="42"/>
      <c r="E216" s="45"/>
      <c r="F216" s="45"/>
      <c r="G216" s="43"/>
      <c r="H216" s="2"/>
      <c r="I216" s="42"/>
      <c r="J216" s="43"/>
      <c r="K216" s="42"/>
      <c r="L216" s="45"/>
      <c r="M216" s="45"/>
      <c r="N216" s="43"/>
    </row>
    <row r="217" spans="2:14" x14ac:dyDescent="0.2">
      <c r="B217" s="40" t="s">
        <v>29</v>
      </c>
      <c r="C217" s="41"/>
      <c r="D217" s="55" t="str">
        <f>_xlfn.CONCAT("*",B220,"*")</f>
        <v>*GS-25-12/11*</v>
      </c>
      <c r="E217" s="56"/>
      <c r="F217" s="56"/>
      <c r="G217" s="57"/>
      <c r="H217" s="2"/>
      <c r="I217" s="40" t="s">
        <v>29</v>
      </c>
      <c r="J217" s="41"/>
      <c r="K217" s="55" t="str">
        <f>_xlfn.CONCAT("*",I220,"*")</f>
        <v>*GS-26-12/11*</v>
      </c>
      <c r="L217" s="56"/>
      <c r="M217" s="56"/>
      <c r="N217" s="57"/>
    </row>
    <row r="218" spans="2:14" x14ac:dyDescent="0.2">
      <c r="B218" s="42"/>
      <c r="C218" s="43"/>
      <c r="D218" s="58"/>
      <c r="E218" s="59"/>
      <c r="F218" s="59"/>
      <c r="G218" s="60"/>
      <c r="H218" s="2"/>
      <c r="I218" s="42"/>
      <c r="J218" s="43"/>
      <c r="K218" s="58"/>
      <c r="L218" s="59"/>
      <c r="M218" s="59"/>
      <c r="N218" s="60"/>
    </row>
    <row r="219" spans="2:14" ht="13.5" x14ac:dyDescent="0.2">
      <c r="B219" s="47" t="s">
        <v>30</v>
      </c>
      <c r="C219" s="47"/>
      <c r="D219" s="47"/>
      <c r="E219" s="47"/>
      <c r="F219" s="47"/>
      <c r="G219" s="47"/>
      <c r="H219" s="2"/>
      <c r="I219" s="47" t="s">
        <v>30</v>
      </c>
      <c r="J219" s="47"/>
      <c r="K219" s="47"/>
      <c r="L219" s="47"/>
      <c r="M219" s="47"/>
      <c r="N219" s="47"/>
    </row>
    <row r="220" spans="2:14" x14ac:dyDescent="0.2">
      <c r="B220" s="48" t="str">
        <f>_xlfn.CONCAT(D213,"-",D215,"-",D211)</f>
        <v>GS-25-12/11</v>
      </c>
      <c r="C220" s="48"/>
      <c r="D220" s="48"/>
      <c r="E220" s="48"/>
      <c r="F220" s="48"/>
      <c r="G220" s="48"/>
      <c r="H220" s="2"/>
      <c r="I220" s="48" t="str">
        <f>_xlfn.CONCAT(K213,"-",K215,"-",K211)</f>
        <v>GS-26-12/11</v>
      </c>
      <c r="J220" s="48"/>
      <c r="K220" s="48"/>
      <c r="L220" s="48"/>
      <c r="M220" s="48"/>
      <c r="N220" s="48"/>
    </row>
    <row r="221" spans="2:14" x14ac:dyDescent="0.2">
      <c r="B221" s="48"/>
      <c r="C221" s="48"/>
      <c r="D221" s="48"/>
      <c r="E221" s="48"/>
      <c r="F221" s="48"/>
      <c r="G221" s="48"/>
      <c r="H221" s="2"/>
      <c r="I221" s="48"/>
      <c r="J221" s="48"/>
      <c r="K221" s="48"/>
      <c r="L221" s="48"/>
      <c r="M221" s="48"/>
      <c r="N221" s="48"/>
    </row>
    <row r="222" spans="2:14" x14ac:dyDescent="0.2">
      <c r="B222" s="48"/>
      <c r="C222" s="48"/>
      <c r="D222" s="48"/>
      <c r="E222" s="48"/>
      <c r="F222" s="48"/>
      <c r="G222" s="48"/>
      <c r="H222" s="2"/>
      <c r="I222" s="48"/>
      <c r="J222" s="48"/>
      <c r="K222" s="48"/>
      <c r="L222" s="48"/>
      <c r="M222" s="48"/>
      <c r="N222" s="48"/>
    </row>
    <row r="223" spans="2:14" x14ac:dyDescent="0.2">
      <c r="B223" s="48"/>
      <c r="C223" s="48"/>
      <c r="D223" s="48"/>
      <c r="E223" s="48"/>
      <c r="F223" s="48"/>
      <c r="G223" s="48"/>
      <c r="H223" s="2"/>
      <c r="I223" s="48"/>
      <c r="J223" s="48"/>
      <c r="K223" s="48"/>
      <c r="L223" s="48"/>
      <c r="M223" s="48"/>
      <c r="N223" s="48"/>
    </row>
    <row r="224" spans="2:14" x14ac:dyDescent="0.2">
      <c r="B224" s="48"/>
      <c r="C224" s="48"/>
      <c r="D224" s="48"/>
      <c r="E224" s="48"/>
      <c r="F224" s="48"/>
      <c r="G224" s="48"/>
      <c r="H224" s="2"/>
      <c r="I224" s="48"/>
      <c r="J224" s="48"/>
      <c r="K224" s="48"/>
      <c r="L224" s="48"/>
      <c r="M224" s="48"/>
      <c r="N224" s="48"/>
    </row>
    <row r="225" spans="2:14" x14ac:dyDescent="0.2">
      <c r="B225" s="48"/>
      <c r="C225" s="48"/>
      <c r="D225" s="48"/>
      <c r="E225" s="48"/>
      <c r="F225" s="48"/>
      <c r="G225" s="48"/>
      <c r="H225" s="2"/>
      <c r="I225" s="48"/>
      <c r="J225" s="48"/>
      <c r="K225" s="48"/>
      <c r="L225" s="48"/>
      <c r="M225" s="48"/>
      <c r="N225" s="48"/>
    </row>
    <row r="226" spans="2:14" x14ac:dyDescent="0.2">
      <c r="B226" s="48"/>
      <c r="C226" s="48"/>
      <c r="D226" s="48"/>
      <c r="E226" s="48"/>
      <c r="F226" s="48"/>
      <c r="G226" s="48"/>
      <c r="H226" s="2"/>
      <c r="I226" s="48"/>
      <c r="J226" s="48"/>
      <c r="K226" s="48"/>
      <c r="L226" s="48"/>
      <c r="M226" s="48"/>
      <c r="N226" s="48"/>
    </row>
    <row r="228" spans="2:14" x14ac:dyDescent="0.2">
      <c r="B228" s="40" t="s">
        <v>16</v>
      </c>
      <c r="C228" s="41"/>
      <c r="D228" s="46" t="str">
        <f>K211</f>
        <v>12/11</v>
      </c>
      <c r="E228" s="44"/>
      <c r="F228" s="44"/>
      <c r="G228" s="41"/>
      <c r="H228" s="2"/>
      <c r="I228" s="40" t="s">
        <v>16</v>
      </c>
      <c r="J228" s="41"/>
      <c r="K228" s="46" t="str">
        <f>D228</f>
        <v>12/11</v>
      </c>
      <c r="L228" s="44"/>
      <c r="M228" s="44"/>
      <c r="N228" s="41"/>
    </row>
    <row r="229" spans="2:14" x14ac:dyDescent="0.2">
      <c r="B229" s="42"/>
      <c r="C229" s="43"/>
      <c r="D229" s="42"/>
      <c r="E229" s="45"/>
      <c r="F229" s="45"/>
      <c r="G229" s="43"/>
      <c r="H229" s="2"/>
      <c r="I229" s="42"/>
      <c r="J229" s="43"/>
      <c r="K229" s="42"/>
      <c r="L229" s="45"/>
      <c r="M229" s="45"/>
      <c r="N229" s="43"/>
    </row>
    <row r="230" spans="2:14" x14ac:dyDescent="0.2">
      <c r="B230" s="40" t="s">
        <v>25</v>
      </c>
      <c r="C230" s="41"/>
      <c r="D230" s="46" t="str">
        <f>K213</f>
        <v>GS</v>
      </c>
      <c r="E230" s="44"/>
      <c r="F230" s="44"/>
      <c r="G230" s="41"/>
      <c r="H230" s="2"/>
      <c r="I230" s="40" t="s">
        <v>25</v>
      </c>
      <c r="J230" s="41"/>
      <c r="K230" s="46" t="str">
        <f>D230</f>
        <v>GS</v>
      </c>
      <c r="L230" s="44"/>
      <c r="M230" s="44"/>
      <c r="N230" s="41"/>
    </row>
    <row r="231" spans="2:14" x14ac:dyDescent="0.2">
      <c r="B231" s="42"/>
      <c r="C231" s="43"/>
      <c r="D231" s="42"/>
      <c r="E231" s="45"/>
      <c r="F231" s="45"/>
      <c r="G231" s="43"/>
      <c r="H231" s="2"/>
      <c r="I231" s="42"/>
      <c r="J231" s="43"/>
      <c r="K231" s="42"/>
      <c r="L231" s="45"/>
      <c r="M231" s="45"/>
      <c r="N231" s="43"/>
    </row>
    <row r="232" spans="2:14" ht="14.25" customHeight="1" x14ac:dyDescent="0.2">
      <c r="B232" s="40" t="s">
        <v>28</v>
      </c>
      <c r="C232" s="41"/>
      <c r="D232" s="40">
        <f>+K215+1</f>
        <v>27</v>
      </c>
      <c r="E232" s="44"/>
      <c r="F232" s="44"/>
      <c r="G232" s="41"/>
      <c r="H232" s="2"/>
      <c r="I232" s="40" t="s">
        <v>28</v>
      </c>
      <c r="J232" s="41"/>
      <c r="K232" s="40">
        <f>+D232+1</f>
        <v>28</v>
      </c>
      <c r="L232" s="44"/>
      <c r="M232" s="44"/>
      <c r="N232" s="41"/>
    </row>
    <row r="233" spans="2:14" ht="14.25" customHeight="1" x14ac:dyDescent="0.2">
      <c r="B233" s="42"/>
      <c r="C233" s="43"/>
      <c r="D233" s="42"/>
      <c r="E233" s="45"/>
      <c r="F233" s="45"/>
      <c r="G233" s="43"/>
      <c r="H233" s="2"/>
      <c r="I233" s="42"/>
      <c r="J233" s="43"/>
      <c r="K233" s="42"/>
      <c r="L233" s="45"/>
      <c r="M233" s="45"/>
      <c r="N233" s="43"/>
    </row>
    <row r="234" spans="2:14" x14ac:dyDescent="0.2">
      <c r="B234" s="40" t="s">
        <v>29</v>
      </c>
      <c r="C234" s="41"/>
      <c r="D234" s="55" t="str">
        <f>_xlfn.CONCAT("*",B237,"*")</f>
        <v>*GS-27-12/11*</v>
      </c>
      <c r="E234" s="56"/>
      <c r="F234" s="56"/>
      <c r="G234" s="57"/>
      <c r="H234" s="2"/>
      <c r="I234" s="40" t="s">
        <v>29</v>
      </c>
      <c r="J234" s="41"/>
      <c r="K234" s="55" t="str">
        <f>_xlfn.CONCAT("*",I237,"*")</f>
        <v>*GS-28-12/11*</v>
      </c>
      <c r="L234" s="56"/>
      <c r="M234" s="56"/>
      <c r="N234" s="57"/>
    </row>
    <row r="235" spans="2:14" x14ac:dyDescent="0.2">
      <c r="B235" s="42"/>
      <c r="C235" s="43"/>
      <c r="D235" s="58"/>
      <c r="E235" s="59"/>
      <c r="F235" s="59"/>
      <c r="G235" s="60"/>
      <c r="H235" s="2"/>
      <c r="I235" s="42"/>
      <c r="J235" s="43"/>
      <c r="K235" s="58"/>
      <c r="L235" s="59"/>
      <c r="M235" s="59"/>
      <c r="N235" s="60"/>
    </row>
    <row r="236" spans="2:14" ht="13.5" x14ac:dyDescent="0.2">
      <c r="B236" s="47" t="s">
        <v>30</v>
      </c>
      <c r="C236" s="47"/>
      <c r="D236" s="47"/>
      <c r="E236" s="47"/>
      <c r="F236" s="47"/>
      <c r="G236" s="47"/>
      <c r="H236" s="2"/>
      <c r="I236" s="47" t="s">
        <v>30</v>
      </c>
      <c r="J236" s="47"/>
      <c r="K236" s="47"/>
      <c r="L236" s="47"/>
      <c r="M236" s="47"/>
      <c r="N236" s="47"/>
    </row>
    <row r="237" spans="2:14" x14ac:dyDescent="0.2">
      <c r="B237" s="48" t="str">
        <f>_xlfn.CONCAT(D230,"-",D232,"-",D228)</f>
        <v>GS-27-12/11</v>
      </c>
      <c r="C237" s="48"/>
      <c r="D237" s="48"/>
      <c r="E237" s="48"/>
      <c r="F237" s="48"/>
      <c r="G237" s="48"/>
      <c r="H237" s="2"/>
      <c r="I237" s="48" t="str">
        <f>_xlfn.CONCAT(K230,"-",K232,"-",K228)</f>
        <v>GS-28-12/11</v>
      </c>
      <c r="J237" s="48"/>
      <c r="K237" s="48"/>
      <c r="L237" s="48"/>
      <c r="M237" s="48"/>
      <c r="N237" s="48"/>
    </row>
    <row r="238" spans="2:14" x14ac:dyDescent="0.2">
      <c r="B238" s="48"/>
      <c r="C238" s="48"/>
      <c r="D238" s="48"/>
      <c r="E238" s="48"/>
      <c r="F238" s="48"/>
      <c r="G238" s="48"/>
      <c r="H238" s="2"/>
      <c r="I238" s="48"/>
      <c r="J238" s="48"/>
      <c r="K238" s="48"/>
      <c r="L238" s="48"/>
      <c r="M238" s="48"/>
      <c r="N238" s="48"/>
    </row>
    <row r="239" spans="2:14" x14ac:dyDescent="0.2">
      <c r="B239" s="48"/>
      <c r="C239" s="48"/>
      <c r="D239" s="48"/>
      <c r="E239" s="48"/>
      <c r="F239" s="48"/>
      <c r="G239" s="48"/>
      <c r="H239" s="2"/>
      <c r="I239" s="48"/>
      <c r="J239" s="48"/>
      <c r="K239" s="48"/>
      <c r="L239" s="48"/>
      <c r="M239" s="48"/>
      <c r="N239" s="48"/>
    </row>
    <row r="240" spans="2:14" x14ac:dyDescent="0.2">
      <c r="B240" s="48"/>
      <c r="C240" s="48"/>
      <c r="D240" s="48"/>
      <c r="E240" s="48"/>
      <c r="F240" s="48"/>
      <c r="G240" s="48"/>
      <c r="H240" s="2"/>
      <c r="I240" s="48"/>
      <c r="J240" s="48"/>
      <c r="K240" s="48"/>
      <c r="L240" s="48"/>
      <c r="M240" s="48"/>
      <c r="N240" s="48"/>
    </row>
    <row r="241" spans="2:14" x14ac:dyDescent="0.2">
      <c r="B241" s="48"/>
      <c r="C241" s="48"/>
      <c r="D241" s="48"/>
      <c r="E241" s="48"/>
      <c r="F241" s="48"/>
      <c r="G241" s="48"/>
      <c r="H241" s="2"/>
      <c r="I241" s="48"/>
      <c r="J241" s="48"/>
      <c r="K241" s="48"/>
      <c r="L241" s="48"/>
      <c r="M241" s="48"/>
      <c r="N241" s="48"/>
    </row>
    <row r="242" spans="2:14" x14ac:dyDescent="0.2">
      <c r="B242" s="48"/>
      <c r="C242" s="48"/>
      <c r="D242" s="48"/>
      <c r="E242" s="48"/>
      <c r="F242" s="48"/>
      <c r="G242" s="48"/>
      <c r="H242" s="2"/>
      <c r="I242" s="48"/>
      <c r="J242" s="48"/>
      <c r="K242" s="48"/>
      <c r="L242" s="48"/>
      <c r="M242" s="48"/>
      <c r="N242" s="48"/>
    </row>
    <row r="243" spans="2:14" x14ac:dyDescent="0.2">
      <c r="B243" s="48"/>
      <c r="C243" s="48"/>
      <c r="D243" s="48"/>
      <c r="E243" s="48"/>
      <c r="F243" s="48"/>
      <c r="G243" s="48"/>
      <c r="H243" s="2"/>
      <c r="I243" s="48"/>
      <c r="J243" s="48"/>
      <c r="K243" s="48"/>
      <c r="L243" s="48"/>
      <c r="M243" s="48"/>
      <c r="N243" s="48"/>
    </row>
    <row r="245" spans="2:14" x14ac:dyDescent="0.2">
      <c r="B245" s="40" t="s">
        <v>16</v>
      </c>
      <c r="C245" s="41"/>
      <c r="D245" s="46" t="str">
        <f>K228</f>
        <v>12/11</v>
      </c>
      <c r="E245" s="44"/>
      <c r="F245" s="44"/>
      <c r="G245" s="41"/>
      <c r="H245" s="2"/>
      <c r="I245" s="40" t="s">
        <v>16</v>
      </c>
      <c r="J245" s="41"/>
      <c r="K245" s="46" t="str">
        <f>D245</f>
        <v>12/11</v>
      </c>
      <c r="L245" s="44"/>
      <c r="M245" s="44"/>
      <c r="N245" s="41"/>
    </row>
    <row r="246" spans="2:14" x14ac:dyDescent="0.2">
      <c r="B246" s="42"/>
      <c r="C246" s="43"/>
      <c r="D246" s="42"/>
      <c r="E246" s="45"/>
      <c r="F246" s="45"/>
      <c r="G246" s="43"/>
      <c r="H246" s="2"/>
      <c r="I246" s="42"/>
      <c r="J246" s="43"/>
      <c r="K246" s="42"/>
      <c r="L246" s="45"/>
      <c r="M246" s="45"/>
      <c r="N246" s="43"/>
    </row>
    <row r="247" spans="2:14" x14ac:dyDescent="0.2">
      <c r="B247" s="40" t="s">
        <v>25</v>
      </c>
      <c r="C247" s="41"/>
      <c r="D247" s="46" t="str">
        <f>K230</f>
        <v>GS</v>
      </c>
      <c r="E247" s="44"/>
      <c r="F247" s="44"/>
      <c r="G247" s="41"/>
      <c r="H247" s="2"/>
      <c r="I247" s="40" t="s">
        <v>25</v>
      </c>
      <c r="J247" s="41"/>
      <c r="K247" s="46" t="str">
        <f>D247</f>
        <v>GS</v>
      </c>
      <c r="L247" s="44"/>
      <c r="M247" s="44"/>
      <c r="N247" s="41"/>
    </row>
    <row r="248" spans="2:14" x14ac:dyDescent="0.2">
      <c r="B248" s="42"/>
      <c r="C248" s="43"/>
      <c r="D248" s="42"/>
      <c r="E248" s="45"/>
      <c r="F248" s="45"/>
      <c r="G248" s="43"/>
      <c r="H248" s="2"/>
      <c r="I248" s="42"/>
      <c r="J248" s="43"/>
      <c r="K248" s="42"/>
      <c r="L248" s="45"/>
      <c r="M248" s="45"/>
      <c r="N248" s="43"/>
    </row>
    <row r="249" spans="2:14" ht="14.25" customHeight="1" x14ac:dyDescent="0.2">
      <c r="B249" s="40" t="s">
        <v>28</v>
      </c>
      <c r="C249" s="41"/>
      <c r="D249" s="40">
        <f>+K232+1</f>
        <v>29</v>
      </c>
      <c r="E249" s="44"/>
      <c r="F249" s="44"/>
      <c r="G249" s="41"/>
      <c r="H249" s="2"/>
      <c r="I249" s="40" t="s">
        <v>28</v>
      </c>
      <c r="J249" s="41"/>
      <c r="K249" s="40">
        <f>+D249+1</f>
        <v>30</v>
      </c>
      <c r="L249" s="44"/>
      <c r="M249" s="44"/>
      <c r="N249" s="41"/>
    </row>
    <row r="250" spans="2:14" ht="14.25" customHeight="1" x14ac:dyDescent="0.2">
      <c r="B250" s="42"/>
      <c r="C250" s="43"/>
      <c r="D250" s="42"/>
      <c r="E250" s="45"/>
      <c r="F250" s="45"/>
      <c r="G250" s="43"/>
      <c r="H250" s="2"/>
      <c r="I250" s="42"/>
      <c r="J250" s="43"/>
      <c r="K250" s="42"/>
      <c r="L250" s="45"/>
      <c r="M250" s="45"/>
      <c r="N250" s="43"/>
    </row>
    <row r="251" spans="2:14" x14ac:dyDescent="0.2">
      <c r="B251" s="40" t="s">
        <v>29</v>
      </c>
      <c r="C251" s="41"/>
      <c r="D251" s="55" t="str">
        <f>_xlfn.CONCAT("*",B254,"*")</f>
        <v>*GS-29-12/11*</v>
      </c>
      <c r="E251" s="56"/>
      <c r="F251" s="56"/>
      <c r="G251" s="57"/>
      <c r="H251" s="2"/>
      <c r="I251" s="40" t="s">
        <v>29</v>
      </c>
      <c r="J251" s="41"/>
      <c r="K251" s="55" t="str">
        <f>_xlfn.CONCAT("*",I254,"*")</f>
        <v>*GS-30-12/11*</v>
      </c>
      <c r="L251" s="56"/>
      <c r="M251" s="56"/>
      <c r="N251" s="57"/>
    </row>
    <row r="252" spans="2:14" x14ac:dyDescent="0.2">
      <c r="B252" s="42"/>
      <c r="C252" s="43"/>
      <c r="D252" s="58"/>
      <c r="E252" s="59"/>
      <c r="F252" s="59"/>
      <c r="G252" s="60"/>
      <c r="H252" s="2"/>
      <c r="I252" s="42"/>
      <c r="J252" s="43"/>
      <c r="K252" s="58"/>
      <c r="L252" s="59"/>
      <c r="M252" s="59"/>
      <c r="N252" s="60"/>
    </row>
    <row r="253" spans="2:14" ht="13.5" x14ac:dyDescent="0.2">
      <c r="B253" s="47" t="s">
        <v>30</v>
      </c>
      <c r="C253" s="47"/>
      <c r="D253" s="47"/>
      <c r="E253" s="47"/>
      <c r="F253" s="47"/>
      <c r="G253" s="47"/>
      <c r="H253" s="2"/>
      <c r="I253" s="47" t="s">
        <v>30</v>
      </c>
      <c r="J253" s="47"/>
      <c r="K253" s="47"/>
      <c r="L253" s="47"/>
      <c r="M253" s="47"/>
      <c r="N253" s="47"/>
    </row>
    <row r="254" spans="2:14" x14ac:dyDescent="0.2">
      <c r="B254" s="48" t="str">
        <f>_xlfn.CONCAT(D247,"-",D249,"-",D245)</f>
        <v>GS-29-12/11</v>
      </c>
      <c r="C254" s="48"/>
      <c r="D254" s="48"/>
      <c r="E254" s="48"/>
      <c r="F254" s="48"/>
      <c r="G254" s="48"/>
      <c r="H254" s="2"/>
      <c r="I254" s="48" t="str">
        <f>_xlfn.CONCAT(K247,"-",K249,"-",K245)</f>
        <v>GS-30-12/11</v>
      </c>
      <c r="J254" s="48"/>
      <c r="K254" s="48"/>
      <c r="L254" s="48"/>
      <c r="M254" s="48"/>
      <c r="N254" s="48"/>
    </row>
    <row r="255" spans="2:14" x14ac:dyDescent="0.2">
      <c r="B255" s="48"/>
      <c r="C255" s="48"/>
      <c r="D255" s="48"/>
      <c r="E255" s="48"/>
      <c r="F255" s="48"/>
      <c r="G255" s="48"/>
      <c r="H255" s="2"/>
      <c r="I255" s="48"/>
      <c r="J255" s="48"/>
      <c r="K255" s="48"/>
      <c r="L255" s="48"/>
      <c r="M255" s="48"/>
      <c r="N255" s="48"/>
    </row>
    <row r="256" spans="2:14" x14ac:dyDescent="0.2">
      <c r="B256" s="48"/>
      <c r="C256" s="48"/>
      <c r="D256" s="48"/>
      <c r="E256" s="48"/>
      <c r="F256" s="48"/>
      <c r="G256" s="48"/>
      <c r="H256" s="2"/>
      <c r="I256" s="48"/>
      <c r="J256" s="48"/>
      <c r="K256" s="48"/>
      <c r="L256" s="48"/>
      <c r="M256" s="48"/>
      <c r="N256" s="48"/>
    </row>
    <row r="257" spans="2:14" x14ac:dyDescent="0.2">
      <c r="B257" s="48"/>
      <c r="C257" s="48"/>
      <c r="D257" s="48"/>
      <c r="E257" s="48"/>
      <c r="F257" s="48"/>
      <c r="G257" s="48"/>
      <c r="H257" s="2"/>
      <c r="I257" s="48"/>
      <c r="J257" s="48"/>
      <c r="K257" s="48"/>
      <c r="L257" s="48"/>
      <c r="M257" s="48"/>
      <c r="N257" s="48"/>
    </row>
    <row r="258" spans="2:14" x14ac:dyDescent="0.2">
      <c r="B258" s="48"/>
      <c r="C258" s="48"/>
      <c r="D258" s="48"/>
      <c r="E258" s="48"/>
      <c r="F258" s="48"/>
      <c r="G258" s="48"/>
      <c r="H258" s="2"/>
      <c r="I258" s="48"/>
      <c r="J258" s="48"/>
      <c r="K258" s="48"/>
      <c r="L258" s="48"/>
      <c r="M258" s="48"/>
      <c r="N258" s="48"/>
    </row>
    <row r="259" spans="2:14" x14ac:dyDescent="0.2">
      <c r="B259" s="48"/>
      <c r="C259" s="48"/>
      <c r="D259" s="48"/>
      <c r="E259" s="48"/>
      <c r="F259" s="48"/>
      <c r="G259" s="48"/>
      <c r="H259" s="2"/>
      <c r="I259" s="48"/>
      <c r="J259" s="48"/>
      <c r="K259" s="48"/>
      <c r="L259" s="48"/>
      <c r="M259" s="48"/>
      <c r="N259" s="48"/>
    </row>
    <row r="260" spans="2:14" x14ac:dyDescent="0.2">
      <c r="B260" s="48"/>
      <c r="C260" s="48"/>
      <c r="D260" s="48"/>
      <c r="E260" s="48"/>
      <c r="F260" s="48"/>
      <c r="G260" s="48"/>
      <c r="H260" s="2"/>
      <c r="I260" s="48"/>
      <c r="J260" s="48"/>
      <c r="K260" s="48"/>
      <c r="L260" s="48"/>
      <c r="M260" s="48"/>
      <c r="N260" s="48"/>
    </row>
    <row r="262" spans="2:14" x14ac:dyDescent="0.2">
      <c r="B262" s="40" t="s">
        <v>16</v>
      </c>
      <c r="C262" s="41"/>
      <c r="D262" s="46" t="str">
        <f>K245</f>
        <v>12/11</v>
      </c>
      <c r="E262" s="44"/>
      <c r="F262" s="44"/>
      <c r="G262" s="41"/>
      <c r="H262" s="2"/>
      <c r="I262" s="40" t="s">
        <v>16</v>
      </c>
      <c r="J262" s="41"/>
      <c r="K262" s="46" t="str">
        <f>D262</f>
        <v>12/11</v>
      </c>
      <c r="L262" s="44"/>
      <c r="M262" s="44"/>
      <c r="N262" s="41"/>
    </row>
    <row r="263" spans="2:14" x14ac:dyDescent="0.2">
      <c r="B263" s="42"/>
      <c r="C263" s="43"/>
      <c r="D263" s="42"/>
      <c r="E263" s="45"/>
      <c r="F263" s="45"/>
      <c r="G263" s="43"/>
      <c r="H263" s="2"/>
      <c r="I263" s="42"/>
      <c r="J263" s="43"/>
      <c r="K263" s="42"/>
      <c r="L263" s="45"/>
      <c r="M263" s="45"/>
      <c r="N263" s="43"/>
    </row>
    <row r="264" spans="2:14" x14ac:dyDescent="0.2">
      <c r="B264" s="40" t="s">
        <v>25</v>
      </c>
      <c r="C264" s="41"/>
      <c r="D264" s="46" t="str">
        <f>K247</f>
        <v>GS</v>
      </c>
      <c r="E264" s="44"/>
      <c r="F264" s="44"/>
      <c r="G264" s="41"/>
      <c r="H264" s="2"/>
      <c r="I264" s="40" t="s">
        <v>25</v>
      </c>
      <c r="J264" s="41"/>
      <c r="K264" s="46" t="str">
        <f>D264</f>
        <v>GS</v>
      </c>
      <c r="L264" s="44"/>
      <c r="M264" s="44"/>
      <c r="N264" s="41"/>
    </row>
    <row r="265" spans="2:14" x14ac:dyDescent="0.2">
      <c r="B265" s="42"/>
      <c r="C265" s="43"/>
      <c r="D265" s="42"/>
      <c r="E265" s="45"/>
      <c r="F265" s="45"/>
      <c r="G265" s="43"/>
      <c r="H265" s="2"/>
      <c r="I265" s="42"/>
      <c r="J265" s="43"/>
      <c r="K265" s="42"/>
      <c r="L265" s="45"/>
      <c r="M265" s="45"/>
      <c r="N265" s="43"/>
    </row>
    <row r="266" spans="2:14" ht="14.25" customHeight="1" x14ac:dyDescent="0.2">
      <c r="B266" s="40" t="s">
        <v>28</v>
      </c>
      <c r="C266" s="41"/>
      <c r="D266" s="40">
        <f>+K249+1</f>
        <v>31</v>
      </c>
      <c r="E266" s="44"/>
      <c r="F266" s="44"/>
      <c r="G266" s="41"/>
      <c r="H266" s="2"/>
      <c r="I266" s="40" t="s">
        <v>28</v>
      </c>
      <c r="J266" s="41"/>
      <c r="K266" s="40">
        <f>+D266+1</f>
        <v>32</v>
      </c>
      <c r="L266" s="44"/>
      <c r="M266" s="44"/>
      <c r="N266" s="41"/>
    </row>
    <row r="267" spans="2:14" ht="14.25" customHeight="1" x14ac:dyDescent="0.2">
      <c r="B267" s="42"/>
      <c r="C267" s="43"/>
      <c r="D267" s="42"/>
      <c r="E267" s="45"/>
      <c r="F267" s="45"/>
      <c r="G267" s="43"/>
      <c r="H267" s="2"/>
      <c r="I267" s="42"/>
      <c r="J267" s="43"/>
      <c r="K267" s="42"/>
      <c r="L267" s="45"/>
      <c r="M267" s="45"/>
      <c r="N267" s="43"/>
    </row>
    <row r="268" spans="2:14" x14ac:dyDescent="0.2">
      <c r="B268" s="40" t="s">
        <v>29</v>
      </c>
      <c r="C268" s="41"/>
      <c r="D268" s="55" t="str">
        <f>_xlfn.CONCAT("*",B271,"*")</f>
        <v>*GS-31-12/11*</v>
      </c>
      <c r="E268" s="56"/>
      <c r="F268" s="56"/>
      <c r="G268" s="57"/>
      <c r="H268" s="2"/>
      <c r="I268" s="40" t="s">
        <v>29</v>
      </c>
      <c r="J268" s="41"/>
      <c r="K268" s="55" t="str">
        <f>_xlfn.CONCAT("*",I271,"*")</f>
        <v>*GS-32-12/11*</v>
      </c>
      <c r="L268" s="56"/>
      <c r="M268" s="56"/>
      <c r="N268" s="57"/>
    </row>
    <row r="269" spans="2:14" x14ac:dyDescent="0.2">
      <c r="B269" s="42"/>
      <c r="C269" s="43"/>
      <c r="D269" s="58"/>
      <c r="E269" s="59"/>
      <c r="F269" s="59"/>
      <c r="G269" s="60"/>
      <c r="H269" s="2"/>
      <c r="I269" s="42"/>
      <c r="J269" s="43"/>
      <c r="K269" s="58"/>
      <c r="L269" s="59"/>
      <c r="M269" s="59"/>
      <c r="N269" s="60"/>
    </row>
    <row r="270" spans="2:14" ht="13.5" x14ac:dyDescent="0.2">
      <c r="B270" s="47" t="s">
        <v>30</v>
      </c>
      <c r="C270" s="47"/>
      <c r="D270" s="47"/>
      <c r="E270" s="47"/>
      <c r="F270" s="47"/>
      <c r="G270" s="47"/>
      <c r="H270" s="2"/>
      <c r="I270" s="47" t="s">
        <v>30</v>
      </c>
      <c r="J270" s="47"/>
      <c r="K270" s="47"/>
      <c r="L270" s="47"/>
      <c r="M270" s="47"/>
      <c r="N270" s="47"/>
    </row>
    <row r="271" spans="2:14" x14ac:dyDescent="0.2">
      <c r="B271" s="48" t="str">
        <f>_xlfn.CONCAT(D264,"-",D266,"-",D262)</f>
        <v>GS-31-12/11</v>
      </c>
      <c r="C271" s="48"/>
      <c r="D271" s="48"/>
      <c r="E271" s="48"/>
      <c r="F271" s="48"/>
      <c r="G271" s="48"/>
      <c r="H271" s="2"/>
      <c r="I271" s="48" t="str">
        <f>_xlfn.CONCAT(K264,"-",K266,"-",K262)</f>
        <v>GS-32-12/11</v>
      </c>
      <c r="J271" s="48"/>
      <c r="K271" s="48"/>
      <c r="L271" s="48"/>
      <c r="M271" s="48"/>
      <c r="N271" s="48"/>
    </row>
    <row r="272" spans="2:14" x14ac:dyDescent="0.2">
      <c r="B272" s="48"/>
      <c r="C272" s="48"/>
      <c r="D272" s="48"/>
      <c r="E272" s="48"/>
      <c r="F272" s="48"/>
      <c r="G272" s="48"/>
      <c r="H272" s="2"/>
      <c r="I272" s="48"/>
      <c r="J272" s="48"/>
      <c r="K272" s="48"/>
      <c r="L272" s="48"/>
      <c r="M272" s="48"/>
      <c r="N272" s="48"/>
    </row>
    <row r="273" spans="2:14" x14ac:dyDescent="0.2">
      <c r="B273" s="48"/>
      <c r="C273" s="48"/>
      <c r="D273" s="48"/>
      <c r="E273" s="48"/>
      <c r="F273" s="48"/>
      <c r="G273" s="48"/>
      <c r="H273" s="2"/>
      <c r="I273" s="48"/>
      <c r="J273" s="48"/>
      <c r="K273" s="48"/>
      <c r="L273" s="48"/>
      <c r="M273" s="48"/>
      <c r="N273" s="48"/>
    </row>
    <row r="274" spans="2:14" x14ac:dyDescent="0.2">
      <c r="B274" s="48"/>
      <c r="C274" s="48"/>
      <c r="D274" s="48"/>
      <c r="E274" s="48"/>
      <c r="F274" s="48"/>
      <c r="G274" s="48"/>
      <c r="H274" s="2"/>
      <c r="I274" s="48"/>
      <c r="J274" s="48"/>
      <c r="K274" s="48"/>
      <c r="L274" s="48"/>
      <c r="M274" s="48"/>
      <c r="N274" s="48"/>
    </row>
    <row r="275" spans="2:14" x14ac:dyDescent="0.2">
      <c r="B275" s="48"/>
      <c r="C275" s="48"/>
      <c r="D275" s="48"/>
      <c r="E275" s="48"/>
      <c r="F275" s="48"/>
      <c r="G275" s="48"/>
      <c r="H275" s="2"/>
      <c r="I275" s="48"/>
      <c r="J275" s="48"/>
      <c r="K275" s="48"/>
      <c r="L275" s="48"/>
      <c r="M275" s="48"/>
      <c r="N275" s="48"/>
    </row>
    <row r="276" spans="2:14" x14ac:dyDescent="0.2">
      <c r="B276" s="48"/>
      <c r="C276" s="48"/>
      <c r="D276" s="48"/>
      <c r="E276" s="48"/>
      <c r="F276" s="48"/>
      <c r="G276" s="48"/>
      <c r="H276" s="2"/>
      <c r="I276" s="48"/>
      <c r="J276" s="48"/>
      <c r="K276" s="48"/>
      <c r="L276" s="48"/>
      <c r="M276" s="48"/>
      <c r="N276" s="48"/>
    </row>
    <row r="277" spans="2:14" x14ac:dyDescent="0.2">
      <c r="B277" s="48"/>
      <c r="C277" s="48"/>
      <c r="D277" s="48"/>
      <c r="E277" s="48"/>
      <c r="F277" s="48"/>
      <c r="G277" s="48"/>
      <c r="H277" s="2"/>
      <c r="I277" s="48"/>
      <c r="J277" s="48"/>
      <c r="K277" s="48"/>
      <c r="L277" s="48"/>
      <c r="M277" s="48"/>
      <c r="N277" s="48"/>
    </row>
    <row r="279" spans="2:14" x14ac:dyDescent="0.2">
      <c r="B279" s="40" t="s">
        <v>16</v>
      </c>
      <c r="C279" s="41"/>
      <c r="D279" s="46" t="str">
        <f>K262</f>
        <v>12/11</v>
      </c>
      <c r="E279" s="44"/>
      <c r="F279" s="44"/>
      <c r="G279" s="41"/>
      <c r="H279" s="2"/>
      <c r="I279" s="40" t="s">
        <v>16</v>
      </c>
      <c r="J279" s="41"/>
      <c r="K279" s="46" t="str">
        <f>D279</f>
        <v>12/11</v>
      </c>
      <c r="L279" s="44"/>
      <c r="M279" s="44"/>
      <c r="N279" s="41"/>
    </row>
    <row r="280" spans="2:14" x14ac:dyDescent="0.2">
      <c r="B280" s="42"/>
      <c r="C280" s="43"/>
      <c r="D280" s="42"/>
      <c r="E280" s="45"/>
      <c r="F280" s="45"/>
      <c r="G280" s="43"/>
      <c r="H280" s="2"/>
      <c r="I280" s="42"/>
      <c r="J280" s="43"/>
      <c r="K280" s="42"/>
      <c r="L280" s="45"/>
      <c r="M280" s="45"/>
      <c r="N280" s="43"/>
    </row>
    <row r="281" spans="2:14" x14ac:dyDescent="0.2">
      <c r="B281" s="40" t="s">
        <v>25</v>
      </c>
      <c r="C281" s="41"/>
      <c r="D281" s="46" t="str">
        <f>K264</f>
        <v>GS</v>
      </c>
      <c r="E281" s="44"/>
      <c r="F281" s="44"/>
      <c r="G281" s="41"/>
      <c r="H281" s="2"/>
      <c r="I281" s="40" t="s">
        <v>25</v>
      </c>
      <c r="J281" s="41"/>
      <c r="K281" s="46" t="str">
        <f>D281</f>
        <v>GS</v>
      </c>
      <c r="L281" s="44"/>
      <c r="M281" s="44"/>
      <c r="N281" s="41"/>
    </row>
    <row r="282" spans="2:14" x14ac:dyDescent="0.2">
      <c r="B282" s="42"/>
      <c r="C282" s="43"/>
      <c r="D282" s="42"/>
      <c r="E282" s="45"/>
      <c r="F282" s="45"/>
      <c r="G282" s="43"/>
      <c r="H282" s="2"/>
      <c r="I282" s="42"/>
      <c r="J282" s="43"/>
      <c r="K282" s="42"/>
      <c r="L282" s="45"/>
      <c r="M282" s="45"/>
      <c r="N282" s="43"/>
    </row>
    <row r="283" spans="2:14" ht="14.25" customHeight="1" x14ac:dyDescent="0.2">
      <c r="B283" s="40" t="s">
        <v>28</v>
      </c>
      <c r="C283" s="41"/>
      <c r="D283" s="40">
        <f>+K266+1</f>
        <v>33</v>
      </c>
      <c r="E283" s="44"/>
      <c r="F283" s="44"/>
      <c r="G283" s="41"/>
      <c r="H283" s="2"/>
      <c r="I283" s="40" t="s">
        <v>28</v>
      </c>
      <c r="J283" s="41"/>
      <c r="K283" s="40">
        <f>+D283+1</f>
        <v>34</v>
      </c>
      <c r="L283" s="44"/>
      <c r="M283" s="44"/>
      <c r="N283" s="41"/>
    </row>
    <row r="284" spans="2:14" ht="14.25" customHeight="1" x14ac:dyDescent="0.2">
      <c r="B284" s="42"/>
      <c r="C284" s="43"/>
      <c r="D284" s="42"/>
      <c r="E284" s="45"/>
      <c r="F284" s="45"/>
      <c r="G284" s="43"/>
      <c r="H284" s="2"/>
      <c r="I284" s="42"/>
      <c r="J284" s="43"/>
      <c r="K284" s="42"/>
      <c r="L284" s="45"/>
      <c r="M284" s="45"/>
      <c r="N284" s="43"/>
    </row>
    <row r="285" spans="2:14" x14ac:dyDescent="0.2">
      <c r="B285" s="40" t="s">
        <v>29</v>
      </c>
      <c r="C285" s="41"/>
      <c r="D285" s="55" t="str">
        <f>_xlfn.CONCAT("*",B288,"*")</f>
        <v>*GS-33-12/11*</v>
      </c>
      <c r="E285" s="56"/>
      <c r="F285" s="56"/>
      <c r="G285" s="57"/>
      <c r="H285" s="2"/>
      <c r="I285" s="40" t="s">
        <v>29</v>
      </c>
      <c r="J285" s="41"/>
      <c r="K285" s="55" t="str">
        <f>_xlfn.CONCAT("*",I288,"*")</f>
        <v>*GS-34-12/11*</v>
      </c>
      <c r="L285" s="56"/>
      <c r="M285" s="56"/>
      <c r="N285" s="57"/>
    </row>
    <row r="286" spans="2:14" x14ac:dyDescent="0.2">
      <c r="B286" s="42"/>
      <c r="C286" s="43"/>
      <c r="D286" s="58"/>
      <c r="E286" s="59"/>
      <c r="F286" s="59"/>
      <c r="G286" s="60"/>
      <c r="H286" s="2"/>
      <c r="I286" s="42"/>
      <c r="J286" s="43"/>
      <c r="K286" s="58"/>
      <c r="L286" s="59"/>
      <c r="M286" s="59"/>
      <c r="N286" s="60"/>
    </row>
    <row r="287" spans="2:14" ht="13.5" x14ac:dyDescent="0.2">
      <c r="B287" s="47" t="s">
        <v>30</v>
      </c>
      <c r="C287" s="47"/>
      <c r="D287" s="47"/>
      <c r="E287" s="47"/>
      <c r="F287" s="47"/>
      <c r="G287" s="47"/>
      <c r="H287" s="2"/>
      <c r="I287" s="47" t="s">
        <v>30</v>
      </c>
      <c r="J287" s="47"/>
      <c r="K287" s="47"/>
      <c r="L287" s="47"/>
      <c r="M287" s="47"/>
      <c r="N287" s="47"/>
    </row>
    <row r="288" spans="2:14" x14ac:dyDescent="0.2">
      <c r="B288" s="48" t="str">
        <f>_xlfn.CONCAT(D281,"-",D283,"-",D279)</f>
        <v>GS-33-12/11</v>
      </c>
      <c r="C288" s="48"/>
      <c r="D288" s="48"/>
      <c r="E288" s="48"/>
      <c r="F288" s="48"/>
      <c r="G288" s="48"/>
      <c r="H288" s="2"/>
      <c r="I288" s="48" t="str">
        <f>_xlfn.CONCAT(K281,"-",K283,"-",K279)</f>
        <v>GS-34-12/11</v>
      </c>
      <c r="J288" s="48"/>
      <c r="K288" s="48"/>
      <c r="L288" s="48"/>
      <c r="M288" s="48"/>
      <c r="N288" s="48"/>
    </row>
    <row r="289" spans="2:14" x14ac:dyDescent="0.2">
      <c r="B289" s="48"/>
      <c r="C289" s="48"/>
      <c r="D289" s="48"/>
      <c r="E289" s="48"/>
      <c r="F289" s="48"/>
      <c r="G289" s="48"/>
      <c r="H289" s="2"/>
      <c r="I289" s="48"/>
      <c r="J289" s="48"/>
      <c r="K289" s="48"/>
      <c r="L289" s="48"/>
      <c r="M289" s="48"/>
      <c r="N289" s="48"/>
    </row>
    <row r="290" spans="2:14" x14ac:dyDescent="0.2">
      <c r="B290" s="48"/>
      <c r="C290" s="48"/>
      <c r="D290" s="48"/>
      <c r="E290" s="48"/>
      <c r="F290" s="48"/>
      <c r="G290" s="48"/>
      <c r="H290" s="2"/>
      <c r="I290" s="48"/>
      <c r="J290" s="48"/>
      <c r="K290" s="48"/>
      <c r="L290" s="48"/>
      <c r="M290" s="48"/>
      <c r="N290" s="48"/>
    </row>
    <row r="291" spans="2:14" x14ac:dyDescent="0.2">
      <c r="B291" s="48"/>
      <c r="C291" s="48"/>
      <c r="D291" s="48"/>
      <c r="E291" s="48"/>
      <c r="F291" s="48"/>
      <c r="G291" s="48"/>
      <c r="H291" s="2"/>
      <c r="I291" s="48"/>
      <c r="J291" s="48"/>
      <c r="K291" s="48"/>
      <c r="L291" s="48"/>
      <c r="M291" s="48"/>
      <c r="N291" s="48"/>
    </row>
    <row r="292" spans="2:14" x14ac:dyDescent="0.2">
      <c r="B292" s="48"/>
      <c r="C292" s="48"/>
      <c r="D292" s="48"/>
      <c r="E292" s="48"/>
      <c r="F292" s="48"/>
      <c r="G292" s="48"/>
      <c r="H292" s="2"/>
      <c r="I292" s="48"/>
      <c r="J292" s="48"/>
      <c r="K292" s="48"/>
      <c r="L292" s="48"/>
      <c r="M292" s="48"/>
      <c r="N292" s="48"/>
    </row>
    <row r="293" spans="2:14" x14ac:dyDescent="0.2">
      <c r="B293" s="48"/>
      <c r="C293" s="48"/>
      <c r="D293" s="48"/>
      <c r="E293" s="48"/>
      <c r="F293" s="48"/>
      <c r="G293" s="48"/>
      <c r="H293" s="2"/>
      <c r="I293" s="48"/>
      <c r="J293" s="48"/>
      <c r="K293" s="48"/>
      <c r="L293" s="48"/>
      <c r="M293" s="48"/>
      <c r="N293" s="48"/>
    </row>
    <row r="294" spans="2:14" x14ac:dyDescent="0.2">
      <c r="B294" s="48"/>
      <c r="C294" s="48"/>
      <c r="D294" s="48"/>
      <c r="E294" s="48"/>
      <c r="F294" s="48"/>
      <c r="G294" s="48"/>
      <c r="H294" s="2"/>
      <c r="I294" s="48"/>
      <c r="J294" s="48"/>
      <c r="K294" s="48"/>
      <c r="L294" s="48"/>
      <c r="M294" s="48"/>
      <c r="N294" s="48"/>
    </row>
    <row r="296" spans="2:14" x14ac:dyDescent="0.2">
      <c r="B296" s="40" t="s">
        <v>16</v>
      </c>
      <c r="C296" s="41"/>
      <c r="D296" s="46" t="str">
        <f>K279</f>
        <v>12/11</v>
      </c>
      <c r="E296" s="44"/>
      <c r="F296" s="44"/>
      <c r="G296" s="41"/>
      <c r="H296" s="2"/>
      <c r="I296" s="40" t="s">
        <v>16</v>
      </c>
      <c r="J296" s="41"/>
      <c r="K296" s="46" t="str">
        <f>D296</f>
        <v>12/11</v>
      </c>
      <c r="L296" s="44"/>
      <c r="M296" s="44"/>
      <c r="N296" s="41"/>
    </row>
    <row r="297" spans="2:14" x14ac:dyDescent="0.2">
      <c r="B297" s="42"/>
      <c r="C297" s="43"/>
      <c r="D297" s="42"/>
      <c r="E297" s="45"/>
      <c r="F297" s="45"/>
      <c r="G297" s="43"/>
      <c r="H297" s="2"/>
      <c r="I297" s="42"/>
      <c r="J297" s="43"/>
      <c r="K297" s="42"/>
      <c r="L297" s="45"/>
      <c r="M297" s="45"/>
      <c r="N297" s="43"/>
    </row>
    <row r="298" spans="2:14" x14ac:dyDescent="0.2">
      <c r="B298" s="40" t="s">
        <v>25</v>
      </c>
      <c r="C298" s="41"/>
      <c r="D298" s="46" t="str">
        <f>K281</f>
        <v>GS</v>
      </c>
      <c r="E298" s="44"/>
      <c r="F298" s="44"/>
      <c r="G298" s="41"/>
      <c r="H298" s="2"/>
      <c r="I298" s="40" t="s">
        <v>25</v>
      </c>
      <c r="J298" s="41"/>
      <c r="K298" s="46" t="str">
        <f>D298</f>
        <v>GS</v>
      </c>
      <c r="L298" s="44"/>
      <c r="M298" s="44"/>
      <c r="N298" s="41"/>
    </row>
    <row r="299" spans="2:14" x14ac:dyDescent="0.2">
      <c r="B299" s="42"/>
      <c r="C299" s="43"/>
      <c r="D299" s="42"/>
      <c r="E299" s="45"/>
      <c r="F299" s="45"/>
      <c r="G299" s="43"/>
      <c r="H299" s="2"/>
      <c r="I299" s="42"/>
      <c r="J299" s="43"/>
      <c r="K299" s="42"/>
      <c r="L299" s="45"/>
      <c r="M299" s="45"/>
      <c r="N299" s="43"/>
    </row>
    <row r="300" spans="2:14" ht="14.25" customHeight="1" x14ac:dyDescent="0.2">
      <c r="B300" s="40" t="s">
        <v>28</v>
      </c>
      <c r="C300" s="41"/>
      <c r="D300" s="40">
        <f>+K283+1</f>
        <v>35</v>
      </c>
      <c r="E300" s="44"/>
      <c r="F300" s="44"/>
      <c r="G300" s="41"/>
      <c r="H300" s="2"/>
      <c r="I300" s="40" t="s">
        <v>28</v>
      </c>
      <c r="J300" s="41"/>
      <c r="K300" s="40">
        <f>+D300+1</f>
        <v>36</v>
      </c>
      <c r="L300" s="44"/>
      <c r="M300" s="44"/>
      <c r="N300" s="41"/>
    </row>
    <row r="301" spans="2:14" ht="14.25" customHeight="1" x14ac:dyDescent="0.2">
      <c r="B301" s="42"/>
      <c r="C301" s="43"/>
      <c r="D301" s="42"/>
      <c r="E301" s="45"/>
      <c r="F301" s="45"/>
      <c r="G301" s="43"/>
      <c r="H301" s="2"/>
      <c r="I301" s="42"/>
      <c r="J301" s="43"/>
      <c r="K301" s="42"/>
      <c r="L301" s="45"/>
      <c r="M301" s="45"/>
      <c r="N301" s="43"/>
    </row>
    <row r="302" spans="2:14" x14ac:dyDescent="0.2">
      <c r="B302" s="40" t="s">
        <v>29</v>
      </c>
      <c r="C302" s="41"/>
      <c r="D302" s="55" t="str">
        <f>_xlfn.CONCAT("*",B305,"*")</f>
        <v>*GS-35-12/11*</v>
      </c>
      <c r="E302" s="56"/>
      <c r="F302" s="56"/>
      <c r="G302" s="57"/>
      <c r="H302" s="2"/>
      <c r="I302" s="40" t="s">
        <v>29</v>
      </c>
      <c r="J302" s="41"/>
      <c r="K302" s="55" t="str">
        <f>_xlfn.CONCAT("*",I305,"*")</f>
        <v>*GS-36-12/11*</v>
      </c>
      <c r="L302" s="56"/>
      <c r="M302" s="56"/>
      <c r="N302" s="57"/>
    </row>
    <row r="303" spans="2:14" x14ac:dyDescent="0.2">
      <c r="B303" s="42"/>
      <c r="C303" s="43"/>
      <c r="D303" s="58"/>
      <c r="E303" s="59"/>
      <c r="F303" s="59"/>
      <c r="G303" s="60"/>
      <c r="H303" s="2"/>
      <c r="I303" s="42"/>
      <c r="J303" s="43"/>
      <c r="K303" s="58"/>
      <c r="L303" s="59"/>
      <c r="M303" s="59"/>
      <c r="N303" s="60"/>
    </row>
    <row r="304" spans="2:14" ht="13.5" x14ac:dyDescent="0.2">
      <c r="B304" s="47" t="s">
        <v>30</v>
      </c>
      <c r="C304" s="47"/>
      <c r="D304" s="47"/>
      <c r="E304" s="47"/>
      <c r="F304" s="47"/>
      <c r="G304" s="47"/>
      <c r="H304" s="2"/>
      <c r="I304" s="47" t="s">
        <v>30</v>
      </c>
      <c r="J304" s="47"/>
      <c r="K304" s="47"/>
      <c r="L304" s="47"/>
      <c r="M304" s="47"/>
      <c r="N304" s="47"/>
    </row>
    <row r="305" spans="2:14" x14ac:dyDescent="0.2">
      <c r="B305" s="48" t="str">
        <f>_xlfn.CONCAT(D298,"-",D300,"-",D296)</f>
        <v>GS-35-12/11</v>
      </c>
      <c r="C305" s="48"/>
      <c r="D305" s="48"/>
      <c r="E305" s="48"/>
      <c r="F305" s="48"/>
      <c r="G305" s="48"/>
      <c r="H305" s="2"/>
      <c r="I305" s="48" t="str">
        <f>_xlfn.CONCAT(K298,"-",K300,"-",K296)</f>
        <v>GS-36-12/11</v>
      </c>
      <c r="J305" s="48"/>
      <c r="K305" s="48"/>
      <c r="L305" s="48"/>
      <c r="M305" s="48"/>
      <c r="N305" s="48"/>
    </row>
    <row r="306" spans="2:14" x14ac:dyDescent="0.2">
      <c r="B306" s="48"/>
      <c r="C306" s="48"/>
      <c r="D306" s="48"/>
      <c r="E306" s="48"/>
      <c r="F306" s="48"/>
      <c r="G306" s="48"/>
      <c r="H306" s="2"/>
      <c r="I306" s="48"/>
      <c r="J306" s="48"/>
      <c r="K306" s="48"/>
      <c r="L306" s="48"/>
      <c r="M306" s="48"/>
      <c r="N306" s="48"/>
    </row>
    <row r="307" spans="2:14" x14ac:dyDescent="0.2">
      <c r="B307" s="48"/>
      <c r="C307" s="48"/>
      <c r="D307" s="48"/>
      <c r="E307" s="48"/>
      <c r="F307" s="48"/>
      <c r="G307" s="48"/>
      <c r="H307" s="2"/>
      <c r="I307" s="48"/>
      <c r="J307" s="48"/>
      <c r="K307" s="48"/>
      <c r="L307" s="48"/>
      <c r="M307" s="48"/>
      <c r="N307" s="48"/>
    </row>
    <row r="308" spans="2:14" x14ac:dyDescent="0.2">
      <c r="B308" s="48"/>
      <c r="C308" s="48"/>
      <c r="D308" s="48"/>
      <c r="E308" s="48"/>
      <c r="F308" s="48"/>
      <c r="G308" s="48"/>
      <c r="H308" s="2"/>
      <c r="I308" s="48"/>
      <c r="J308" s="48"/>
      <c r="K308" s="48"/>
      <c r="L308" s="48"/>
      <c r="M308" s="48"/>
      <c r="N308" s="48"/>
    </row>
    <row r="309" spans="2:14" x14ac:dyDescent="0.2">
      <c r="B309" s="48"/>
      <c r="C309" s="48"/>
      <c r="D309" s="48"/>
      <c r="E309" s="48"/>
      <c r="F309" s="48"/>
      <c r="G309" s="48"/>
      <c r="H309" s="2"/>
      <c r="I309" s="48"/>
      <c r="J309" s="48"/>
      <c r="K309" s="48"/>
      <c r="L309" s="48"/>
      <c r="M309" s="48"/>
      <c r="N309" s="48"/>
    </row>
    <row r="310" spans="2:14" x14ac:dyDescent="0.2">
      <c r="B310" s="48"/>
      <c r="C310" s="48"/>
      <c r="D310" s="48"/>
      <c r="E310" s="48"/>
      <c r="F310" s="48"/>
      <c r="G310" s="48"/>
      <c r="H310" s="2"/>
      <c r="I310" s="48"/>
      <c r="J310" s="48"/>
      <c r="K310" s="48"/>
      <c r="L310" s="48"/>
      <c r="M310" s="48"/>
      <c r="N310" s="48"/>
    </row>
    <row r="311" spans="2:14" x14ac:dyDescent="0.2">
      <c r="B311" s="48"/>
      <c r="C311" s="48"/>
      <c r="D311" s="48"/>
      <c r="E311" s="48"/>
      <c r="F311" s="48"/>
      <c r="G311" s="48"/>
      <c r="H311" s="2"/>
      <c r="I311" s="48"/>
      <c r="J311" s="48"/>
      <c r="K311" s="48"/>
      <c r="L311" s="48"/>
      <c r="M311" s="48"/>
      <c r="N311" s="48"/>
    </row>
    <row r="313" spans="2:14" x14ac:dyDescent="0.2">
      <c r="B313" s="40" t="s">
        <v>16</v>
      </c>
      <c r="C313" s="41"/>
      <c r="D313" s="46" t="str">
        <f>K296</f>
        <v>12/11</v>
      </c>
      <c r="E313" s="44"/>
      <c r="F313" s="44"/>
      <c r="G313" s="41"/>
      <c r="H313" s="2"/>
      <c r="I313" s="40" t="s">
        <v>16</v>
      </c>
      <c r="J313" s="41"/>
      <c r="K313" s="46" t="str">
        <f>D313</f>
        <v>12/11</v>
      </c>
      <c r="L313" s="44"/>
      <c r="M313" s="44"/>
      <c r="N313" s="41"/>
    </row>
    <row r="314" spans="2:14" x14ac:dyDescent="0.2">
      <c r="B314" s="42"/>
      <c r="C314" s="43"/>
      <c r="D314" s="42"/>
      <c r="E314" s="45"/>
      <c r="F314" s="45"/>
      <c r="G314" s="43"/>
      <c r="H314" s="2"/>
      <c r="I314" s="42"/>
      <c r="J314" s="43"/>
      <c r="K314" s="42"/>
      <c r="L314" s="45"/>
      <c r="M314" s="45"/>
      <c r="N314" s="43"/>
    </row>
    <row r="315" spans="2:14" x14ac:dyDescent="0.2">
      <c r="B315" s="40" t="s">
        <v>25</v>
      </c>
      <c r="C315" s="41"/>
      <c r="D315" s="46" t="str">
        <f>K298</f>
        <v>GS</v>
      </c>
      <c r="E315" s="44"/>
      <c r="F315" s="44"/>
      <c r="G315" s="41"/>
      <c r="H315" s="2"/>
      <c r="I315" s="40" t="s">
        <v>25</v>
      </c>
      <c r="J315" s="41"/>
      <c r="K315" s="46" t="str">
        <f>D315</f>
        <v>GS</v>
      </c>
      <c r="L315" s="44"/>
      <c r="M315" s="44"/>
      <c r="N315" s="41"/>
    </row>
    <row r="316" spans="2:14" x14ac:dyDescent="0.2">
      <c r="B316" s="42"/>
      <c r="C316" s="43"/>
      <c r="D316" s="42"/>
      <c r="E316" s="45"/>
      <c r="F316" s="45"/>
      <c r="G316" s="43"/>
      <c r="H316" s="2"/>
      <c r="I316" s="42"/>
      <c r="J316" s="43"/>
      <c r="K316" s="42"/>
      <c r="L316" s="45"/>
      <c r="M316" s="45"/>
      <c r="N316" s="43"/>
    </row>
    <row r="317" spans="2:14" ht="14.25" customHeight="1" x14ac:dyDescent="0.2">
      <c r="B317" s="40" t="s">
        <v>28</v>
      </c>
      <c r="C317" s="41"/>
      <c r="D317" s="40">
        <f>+K300+1</f>
        <v>37</v>
      </c>
      <c r="E317" s="44"/>
      <c r="F317" s="44"/>
      <c r="G317" s="41"/>
      <c r="H317" s="2"/>
      <c r="I317" s="40" t="s">
        <v>28</v>
      </c>
      <c r="J317" s="41"/>
      <c r="K317" s="40">
        <f>+D317+1</f>
        <v>38</v>
      </c>
      <c r="L317" s="44"/>
      <c r="M317" s="44"/>
      <c r="N317" s="41"/>
    </row>
    <row r="318" spans="2:14" ht="14.25" customHeight="1" x14ac:dyDescent="0.2">
      <c r="B318" s="42"/>
      <c r="C318" s="43"/>
      <c r="D318" s="42"/>
      <c r="E318" s="45"/>
      <c r="F318" s="45"/>
      <c r="G318" s="43"/>
      <c r="H318" s="2"/>
      <c r="I318" s="42"/>
      <c r="J318" s="43"/>
      <c r="K318" s="42"/>
      <c r="L318" s="45"/>
      <c r="M318" s="45"/>
      <c r="N318" s="43"/>
    </row>
    <row r="319" spans="2:14" x14ac:dyDescent="0.2">
      <c r="B319" s="40" t="s">
        <v>29</v>
      </c>
      <c r="C319" s="41"/>
      <c r="D319" s="55" t="str">
        <f>_xlfn.CONCAT("*",B322,"*")</f>
        <v>*GS-37-12/11*</v>
      </c>
      <c r="E319" s="56"/>
      <c r="F319" s="56"/>
      <c r="G319" s="57"/>
      <c r="H319" s="2"/>
      <c r="I319" s="40" t="s">
        <v>29</v>
      </c>
      <c r="J319" s="41"/>
      <c r="K319" s="55" t="str">
        <f>_xlfn.CONCAT("*",I322,"*")</f>
        <v>*GS-38-12/11*</v>
      </c>
      <c r="L319" s="56"/>
      <c r="M319" s="56"/>
      <c r="N319" s="57"/>
    </row>
    <row r="320" spans="2:14" x14ac:dyDescent="0.2">
      <c r="B320" s="42"/>
      <c r="C320" s="43"/>
      <c r="D320" s="58"/>
      <c r="E320" s="59"/>
      <c r="F320" s="59"/>
      <c r="G320" s="60"/>
      <c r="H320" s="2"/>
      <c r="I320" s="42"/>
      <c r="J320" s="43"/>
      <c r="K320" s="58"/>
      <c r="L320" s="59"/>
      <c r="M320" s="59"/>
      <c r="N320" s="60"/>
    </row>
    <row r="321" spans="2:14" ht="13.5" x14ac:dyDescent="0.2">
      <c r="B321" s="47" t="s">
        <v>30</v>
      </c>
      <c r="C321" s="47"/>
      <c r="D321" s="47"/>
      <c r="E321" s="47"/>
      <c r="F321" s="47"/>
      <c r="G321" s="47"/>
      <c r="H321" s="2"/>
      <c r="I321" s="47" t="s">
        <v>30</v>
      </c>
      <c r="J321" s="47"/>
      <c r="K321" s="47"/>
      <c r="L321" s="47"/>
      <c r="M321" s="47"/>
      <c r="N321" s="47"/>
    </row>
    <row r="322" spans="2:14" x14ac:dyDescent="0.2">
      <c r="B322" s="48" t="str">
        <f>_xlfn.CONCAT(D315,"-",D317,"-",D313)</f>
        <v>GS-37-12/11</v>
      </c>
      <c r="C322" s="48"/>
      <c r="D322" s="48"/>
      <c r="E322" s="48"/>
      <c r="F322" s="48"/>
      <c r="G322" s="48"/>
      <c r="H322" s="2"/>
      <c r="I322" s="48" t="str">
        <f>_xlfn.CONCAT(K315,"-",K317,"-",K313)</f>
        <v>GS-38-12/11</v>
      </c>
      <c r="J322" s="48"/>
      <c r="K322" s="48"/>
      <c r="L322" s="48"/>
      <c r="M322" s="48"/>
      <c r="N322" s="48"/>
    </row>
    <row r="323" spans="2:14" x14ac:dyDescent="0.2">
      <c r="B323" s="48"/>
      <c r="C323" s="48"/>
      <c r="D323" s="48"/>
      <c r="E323" s="48"/>
      <c r="F323" s="48"/>
      <c r="G323" s="48"/>
      <c r="H323" s="2"/>
      <c r="I323" s="48"/>
      <c r="J323" s="48"/>
      <c r="K323" s="48"/>
      <c r="L323" s="48"/>
      <c r="M323" s="48"/>
      <c r="N323" s="48"/>
    </row>
    <row r="324" spans="2:14" x14ac:dyDescent="0.2">
      <c r="B324" s="48"/>
      <c r="C324" s="48"/>
      <c r="D324" s="48"/>
      <c r="E324" s="48"/>
      <c r="F324" s="48"/>
      <c r="G324" s="48"/>
      <c r="H324" s="2"/>
      <c r="I324" s="48"/>
      <c r="J324" s="48"/>
      <c r="K324" s="48"/>
      <c r="L324" s="48"/>
      <c r="M324" s="48"/>
      <c r="N324" s="48"/>
    </row>
    <row r="325" spans="2:14" x14ac:dyDescent="0.2">
      <c r="B325" s="48"/>
      <c r="C325" s="48"/>
      <c r="D325" s="48"/>
      <c r="E325" s="48"/>
      <c r="F325" s="48"/>
      <c r="G325" s="48"/>
      <c r="H325" s="2"/>
      <c r="I325" s="48"/>
      <c r="J325" s="48"/>
      <c r="K325" s="48"/>
      <c r="L325" s="48"/>
      <c r="M325" s="48"/>
      <c r="N325" s="48"/>
    </row>
    <row r="326" spans="2:14" x14ac:dyDescent="0.2">
      <c r="B326" s="48"/>
      <c r="C326" s="48"/>
      <c r="D326" s="48"/>
      <c r="E326" s="48"/>
      <c r="F326" s="48"/>
      <c r="G326" s="48"/>
      <c r="H326" s="2"/>
      <c r="I326" s="48"/>
      <c r="J326" s="48"/>
      <c r="K326" s="48"/>
      <c r="L326" s="48"/>
      <c r="M326" s="48"/>
      <c r="N326" s="48"/>
    </row>
    <row r="327" spans="2:14" x14ac:dyDescent="0.2">
      <c r="B327" s="48"/>
      <c r="C327" s="48"/>
      <c r="D327" s="48"/>
      <c r="E327" s="48"/>
      <c r="F327" s="48"/>
      <c r="G327" s="48"/>
      <c r="H327" s="2"/>
      <c r="I327" s="48"/>
      <c r="J327" s="48"/>
      <c r="K327" s="48"/>
      <c r="L327" s="48"/>
      <c r="M327" s="48"/>
      <c r="N327" s="48"/>
    </row>
    <row r="328" spans="2:14" x14ac:dyDescent="0.2">
      <c r="B328" s="48"/>
      <c r="C328" s="48"/>
      <c r="D328" s="48"/>
      <c r="E328" s="48"/>
      <c r="F328" s="48"/>
      <c r="G328" s="48"/>
      <c r="H328" s="2"/>
      <c r="I328" s="48"/>
      <c r="J328" s="48"/>
      <c r="K328" s="48"/>
      <c r="L328" s="48"/>
      <c r="M328" s="48"/>
      <c r="N328" s="48"/>
    </row>
    <row r="330" spans="2:14" x14ac:dyDescent="0.2">
      <c r="B330" s="40" t="s">
        <v>16</v>
      </c>
      <c r="C330" s="41"/>
      <c r="D330" s="46" t="str">
        <f>K313</f>
        <v>12/11</v>
      </c>
      <c r="E330" s="44"/>
      <c r="F330" s="44"/>
      <c r="G330" s="41"/>
      <c r="H330" s="2"/>
      <c r="I330" s="40" t="s">
        <v>16</v>
      </c>
      <c r="J330" s="41"/>
      <c r="K330" s="46" t="str">
        <f>D330</f>
        <v>12/11</v>
      </c>
      <c r="L330" s="44"/>
      <c r="M330" s="44"/>
      <c r="N330" s="41"/>
    </row>
    <row r="331" spans="2:14" x14ac:dyDescent="0.2">
      <c r="B331" s="42"/>
      <c r="C331" s="43"/>
      <c r="D331" s="42"/>
      <c r="E331" s="45"/>
      <c r="F331" s="45"/>
      <c r="G331" s="43"/>
      <c r="H331" s="2"/>
      <c r="I331" s="42"/>
      <c r="J331" s="43"/>
      <c r="K331" s="42"/>
      <c r="L331" s="45"/>
      <c r="M331" s="45"/>
      <c r="N331" s="43"/>
    </row>
    <row r="332" spans="2:14" x14ac:dyDescent="0.2">
      <c r="B332" s="40" t="s">
        <v>25</v>
      </c>
      <c r="C332" s="41"/>
      <c r="D332" s="46" t="str">
        <f>K315</f>
        <v>GS</v>
      </c>
      <c r="E332" s="44"/>
      <c r="F332" s="44"/>
      <c r="G332" s="41"/>
      <c r="H332" s="2"/>
      <c r="I332" s="40" t="s">
        <v>25</v>
      </c>
      <c r="J332" s="41"/>
      <c r="K332" s="46" t="str">
        <f>D332</f>
        <v>GS</v>
      </c>
      <c r="L332" s="44"/>
      <c r="M332" s="44"/>
      <c r="N332" s="41"/>
    </row>
    <row r="333" spans="2:14" x14ac:dyDescent="0.2">
      <c r="B333" s="42"/>
      <c r="C333" s="43"/>
      <c r="D333" s="42"/>
      <c r="E333" s="45"/>
      <c r="F333" s="45"/>
      <c r="G333" s="43"/>
      <c r="H333" s="2"/>
      <c r="I333" s="42"/>
      <c r="J333" s="43"/>
      <c r="K333" s="42"/>
      <c r="L333" s="45"/>
      <c r="M333" s="45"/>
      <c r="N333" s="43"/>
    </row>
    <row r="334" spans="2:14" ht="14.25" customHeight="1" x14ac:dyDescent="0.2">
      <c r="B334" s="40" t="s">
        <v>28</v>
      </c>
      <c r="C334" s="41"/>
      <c r="D334" s="40">
        <f>+K317+1</f>
        <v>39</v>
      </c>
      <c r="E334" s="44"/>
      <c r="F334" s="44"/>
      <c r="G334" s="41"/>
      <c r="H334" s="2"/>
      <c r="I334" s="40" t="s">
        <v>28</v>
      </c>
      <c r="J334" s="41"/>
      <c r="K334" s="40">
        <f>+D334+1</f>
        <v>40</v>
      </c>
      <c r="L334" s="44"/>
      <c r="M334" s="44"/>
      <c r="N334" s="41"/>
    </row>
    <row r="335" spans="2:14" ht="14.25" customHeight="1" x14ac:dyDescent="0.2">
      <c r="B335" s="42"/>
      <c r="C335" s="43"/>
      <c r="D335" s="42"/>
      <c r="E335" s="45"/>
      <c r="F335" s="45"/>
      <c r="G335" s="43"/>
      <c r="H335" s="2"/>
      <c r="I335" s="42"/>
      <c r="J335" s="43"/>
      <c r="K335" s="42"/>
      <c r="L335" s="45"/>
      <c r="M335" s="45"/>
      <c r="N335" s="43"/>
    </row>
    <row r="336" spans="2:14" x14ac:dyDescent="0.2">
      <c r="B336" s="40" t="s">
        <v>29</v>
      </c>
      <c r="C336" s="41"/>
      <c r="D336" s="55" t="str">
        <f>_xlfn.CONCAT("*",B339,"*")</f>
        <v>*GS-39-12/11*</v>
      </c>
      <c r="E336" s="56"/>
      <c r="F336" s="56"/>
      <c r="G336" s="57"/>
      <c r="H336" s="2"/>
      <c r="I336" s="40" t="s">
        <v>29</v>
      </c>
      <c r="J336" s="41"/>
      <c r="K336" s="55" t="str">
        <f>_xlfn.CONCAT("*",I339,"*")</f>
        <v>*GS-40-12/11*</v>
      </c>
      <c r="L336" s="56"/>
      <c r="M336" s="56"/>
      <c r="N336" s="57"/>
    </row>
    <row r="337" spans="2:14" x14ac:dyDescent="0.2">
      <c r="B337" s="42"/>
      <c r="C337" s="43"/>
      <c r="D337" s="58"/>
      <c r="E337" s="59"/>
      <c r="F337" s="59"/>
      <c r="G337" s="60"/>
      <c r="H337" s="2"/>
      <c r="I337" s="42"/>
      <c r="J337" s="43"/>
      <c r="K337" s="58"/>
      <c r="L337" s="59"/>
      <c r="M337" s="59"/>
      <c r="N337" s="60"/>
    </row>
    <row r="338" spans="2:14" ht="13.5" x14ac:dyDescent="0.2">
      <c r="B338" s="47" t="s">
        <v>30</v>
      </c>
      <c r="C338" s="47"/>
      <c r="D338" s="47"/>
      <c r="E338" s="47"/>
      <c r="F338" s="47"/>
      <c r="G338" s="47"/>
      <c r="H338" s="2"/>
      <c r="I338" s="47" t="s">
        <v>30</v>
      </c>
      <c r="J338" s="47"/>
      <c r="K338" s="47"/>
      <c r="L338" s="47"/>
      <c r="M338" s="47"/>
      <c r="N338" s="47"/>
    </row>
    <row r="339" spans="2:14" x14ac:dyDescent="0.2">
      <c r="B339" s="48" t="str">
        <f>_xlfn.CONCAT(D332,"-",D334,"-",D330)</f>
        <v>GS-39-12/11</v>
      </c>
      <c r="C339" s="48"/>
      <c r="D339" s="48"/>
      <c r="E339" s="48"/>
      <c r="F339" s="48"/>
      <c r="G339" s="48"/>
      <c r="H339" s="2"/>
      <c r="I339" s="48" t="str">
        <f>_xlfn.CONCAT(K332,"-",K334,"-",K330)</f>
        <v>GS-40-12/11</v>
      </c>
      <c r="J339" s="48"/>
      <c r="K339" s="48"/>
      <c r="L339" s="48"/>
      <c r="M339" s="48"/>
      <c r="N339" s="48"/>
    </row>
    <row r="340" spans="2:14" x14ac:dyDescent="0.2">
      <c r="B340" s="48"/>
      <c r="C340" s="48"/>
      <c r="D340" s="48"/>
      <c r="E340" s="48"/>
      <c r="F340" s="48"/>
      <c r="G340" s="48"/>
      <c r="H340" s="2"/>
      <c r="I340" s="48"/>
      <c r="J340" s="48"/>
      <c r="K340" s="48"/>
      <c r="L340" s="48"/>
      <c r="M340" s="48"/>
      <c r="N340" s="48"/>
    </row>
    <row r="341" spans="2:14" x14ac:dyDescent="0.2">
      <c r="B341" s="48"/>
      <c r="C341" s="48"/>
      <c r="D341" s="48"/>
      <c r="E341" s="48"/>
      <c r="F341" s="48"/>
      <c r="G341" s="48"/>
      <c r="H341" s="2"/>
      <c r="I341" s="48"/>
      <c r="J341" s="48"/>
      <c r="K341" s="48"/>
      <c r="L341" s="48"/>
      <c r="M341" s="48"/>
      <c r="N341" s="48"/>
    </row>
    <row r="342" spans="2:14" x14ac:dyDescent="0.2">
      <c r="B342" s="48"/>
      <c r="C342" s="48"/>
      <c r="D342" s="48"/>
      <c r="E342" s="48"/>
      <c r="F342" s="48"/>
      <c r="G342" s="48"/>
      <c r="H342" s="2"/>
      <c r="I342" s="48"/>
      <c r="J342" s="48"/>
      <c r="K342" s="48"/>
      <c r="L342" s="48"/>
      <c r="M342" s="48"/>
      <c r="N342" s="48"/>
    </row>
    <row r="343" spans="2:14" x14ac:dyDescent="0.2">
      <c r="B343" s="48"/>
      <c r="C343" s="48"/>
      <c r="D343" s="48"/>
      <c r="E343" s="48"/>
      <c r="F343" s="48"/>
      <c r="G343" s="48"/>
      <c r="H343" s="2"/>
      <c r="I343" s="48"/>
      <c r="J343" s="48"/>
      <c r="K343" s="48"/>
      <c r="L343" s="48"/>
      <c r="M343" s="48"/>
      <c r="N343" s="48"/>
    </row>
    <row r="344" spans="2:14" x14ac:dyDescent="0.2">
      <c r="B344" s="48"/>
      <c r="C344" s="48"/>
      <c r="D344" s="48"/>
      <c r="E344" s="48"/>
      <c r="F344" s="48"/>
      <c r="G344" s="48"/>
      <c r="H344" s="2"/>
      <c r="I344" s="48"/>
      <c r="J344" s="48"/>
      <c r="K344" s="48"/>
      <c r="L344" s="48"/>
      <c r="M344" s="48"/>
      <c r="N344" s="48"/>
    </row>
    <row r="345" spans="2:14" x14ac:dyDescent="0.2">
      <c r="B345" s="48"/>
      <c r="C345" s="48"/>
      <c r="D345" s="48"/>
      <c r="E345" s="48"/>
      <c r="F345" s="48"/>
      <c r="G345" s="48"/>
      <c r="H345" s="2"/>
      <c r="I345" s="48"/>
      <c r="J345" s="48"/>
      <c r="K345" s="48"/>
      <c r="L345" s="48"/>
      <c r="M345" s="48"/>
      <c r="N345" s="48"/>
    </row>
    <row r="347" spans="2:14" x14ac:dyDescent="0.2">
      <c r="B347" s="40" t="s">
        <v>16</v>
      </c>
      <c r="C347" s="41"/>
      <c r="D347" s="46" t="str">
        <f>K330</f>
        <v>12/11</v>
      </c>
      <c r="E347" s="44"/>
      <c r="F347" s="44"/>
      <c r="G347" s="41"/>
      <c r="H347" s="2"/>
      <c r="I347" s="40" t="s">
        <v>16</v>
      </c>
      <c r="J347" s="41"/>
      <c r="K347" s="46" t="str">
        <f>D347</f>
        <v>12/11</v>
      </c>
      <c r="L347" s="44"/>
      <c r="M347" s="44"/>
      <c r="N347" s="41"/>
    </row>
    <row r="348" spans="2:14" x14ac:dyDescent="0.2">
      <c r="B348" s="42"/>
      <c r="C348" s="43"/>
      <c r="D348" s="42"/>
      <c r="E348" s="45"/>
      <c r="F348" s="45"/>
      <c r="G348" s="43"/>
      <c r="H348" s="2"/>
      <c r="I348" s="42"/>
      <c r="J348" s="43"/>
      <c r="K348" s="42"/>
      <c r="L348" s="45"/>
      <c r="M348" s="45"/>
      <c r="N348" s="43"/>
    </row>
    <row r="349" spans="2:14" x14ac:dyDescent="0.2">
      <c r="B349" s="40" t="s">
        <v>25</v>
      </c>
      <c r="C349" s="41"/>
      <c r="D349" s="46" t="str">
        <f>K332</f>
        <v>GS</v>
      </c>
      <c r="E349" s="44"/>
      <c r="F349" s="44"/>
      <c r="G349" s="41"/>
      <c r="H349" s="2"/>
      <c r="I349" s="40" t="s">
        <v>25</v>
      </c>
      <c r="J349" s="41"/>
      <c r="K349" s="46" t="str">
        <f>D349</f>
        <v>GS</v>
      </c>
      <c r="L349" s="44"/>
      <c r="M349" s="44"/>
      <c r="N349" s="41"/>
    </row>
    <row r="350" spans="2:14" x14ac:dyDescent="0.2">
      <c r="B350" s="42"/>
      <c r="C350" s="43"/>
      <c r="D350" s="42"/>
      <c r="E350" s="45"/>
      <c r="F350" s="45"/>
      <c r="G350" s="43"/>
      <c r="H350" s="2"/>
      <c r="I350" s="42"/>
      <c r="J350" s="43"/>
      <c r="K350" s="42"/>
      <c r="L350" s="45"/>
      <c r="M350" s="45"/>
      <c r="N350" s="43"/>
    </row>
    <row r="351" spans="2:14" ht="14.25" customHeight="1" x14ac:dyDescent="0.2">
      <c r="B351" s="40" t="s">
        <v>28</v>
      </c>
      <c r="C351" s="41"/>
      <c r="D351" s="40">
        <f>+K334+1</f>
        <v>41</v>
      </c>
      <c r="E351" s="44"/>
      <c r="F351" s="44"/>
      <c r="G351" s="41"/>
      <c r="H351" s="2"/>
      <c r="I351" s="40" t="s">
        <v>28</v>
      </c>
      <c r="J351" s="41"/>
      <c r="K351" s="40">
        <f>+D351+1</f>
        <v>42</v>
      </c>
      <c r="L351" s="44"/>
      <c r="M351" s="44"/>
      <c r="N351" s="41"/>
    </row>
    <row r="352" spans="2:14" ht="14.25" customHeight="1" x14ac:dyDescent="0.2">
      <c r="B352" s="42"/>
      <c r="C352" s="43"/>
      <c r="D352" s="42"/>
      <c r="E352" s="45"/>
      <c r="F352" s="45"/>
      <c r="G352" s="43"/>
      <c r="H352" s="2"/>
      <c r="I352" s="42"/>
      <c r="J352" s="43"/>
      <c r="K352" s="42"/>
      <c r="L352" s="45"/>
      <c r="M352" s="45"/>
      <c r="N352" s="43"/>
    </row>
    <row r="353" spans="2:14" x14ac:dyDescent="0.2">
      <c r="B353" s="40" t="s">
        <v>29</v>
      </c>
      <c r="C353" s="41"/>
      <c r="D353" s="55" t="str">
        <f>_xlfn.CONCAT("*",B356,"*")</f>
        <v>*GS-41-12/11*</v>
      </c>
      <c r="E353" s="56"/>
      <c r="F353" s="56"/>
      <c r="G353" s="57"/>
      <c r="H353" s="2"/>
      <c r="I353" s="40" t="s">
        <v>29</v>
      </c>
      <c r="J353" s="41"/>
      <c r="K353" s="55" t="str">
        <f>_xlfn.CONCAT("*",I356,"*")</f>
        <v>*GS-42-12/11*</v>
      </c>
      <c r="L353" s="56"/>
      <c r="M353" s="56"/>
      <c r="N353" s="57"/>
    </row>
    <row r="354" spans="2:14" x14ac:dyDescent="0.2">
      <c r="B354" s="42"/>
      <c r="C354" s="43"/>
      <c r="D354" s="58"/>
      <c r="E354" s="59"/>
      <c r="F354" s="59"/>
      <c r="G354" s="60"/>
      <c r="H354" s="2"/>
      <c r="I354" s="42"/>
      <c r="J354" s="43"/>
      <c r="K354" s="58"/>
      <c r="L354" s="59"/>
      <c r="M354" s="59"/>
      <c r="N354" s="60"/>
    </row>
    <row r="355" spans="2:14" ht="13.5" x14ac:dyDescent="0.2">
      <c r="B355" s="47" t="s">
        <v>30</v>
      </c>
      <c r="C355" s="47"/>
      <c r="D355" s="47"/>
      <c r="E355" s="47"/>
      <c r="F355" s="47"/>
      <c r="G355" s="47"/>
      <c r="H355" s="2"/>
      <c r="I355" s="47" t="s">
        <v>30</v>
      </c>
      <c r="J355" s="47"/>
      <c r="K355" s="47"/>
      <c r="L355" s="47"/>
      <c r="M355" s="47"/>
      <c r="N355" s="47"/>
    </row>
    <row r="356" spans="2:14" x14ac:dyDescent="0.2">
      <c r="B356" s="48" t="str">
        <f>_xlfn.CONCAT(D349,"-",D351,"-",D347)</f>
        <v>GS-41-12/11</v>
      </c>
      <c r="C356" s="48"/>
      <c r="D356" s="48"/>
      <c r="E356" s="48"/>
      <c r="F356" s="48"/>
      <c r="G356" s="48"/>
      <c r="H356" s="2"/>
      <c r="I356" s="48" t="str">
        <f>_xlfn.CONCAT(K349,"-",K351,"-",K347)</f>
        <v>GS-42-12/11</v>
      </c>
      <c r="J356" s="48"/>
      <c r="K356" s="48"/>
      <c r="L356" s="48"/>
      <c r="M356" s="48"/>
      <c r="N356" s="48"/>
    </row>
    <row r="357" spans="2:14" x14ac:dyDescent="0.2">
      <c r="B357" s="48"/>
      <c r="C357" s="48"/>
      <c r="D357" s="48"/>
      <c r="E357" s="48"/>
      <c r="F357" s="48"/>
      <c r="G357" s="48"/>
      <c r="H357" s="2"/>
      <c r="I357" s="48"/>
      <c r="J357" s="48"/>
      <c r="K357" s="48"/>
      <c r="L357" s="48"/>
      <c r="M357" s="48"/>
      <c r="N357" s="48"/>
    </row>
    <row r="358" spans="2:14" x14ac:dyDescent="0.2">
      <c r="B358" s="48"/>
      <c r="C358" s="48"/>
      <c r="D358" s="48"/>
      <c r="E358" s="48"/>
      <c r="F358" s="48"/>
      <c r="G358" s="48"/>
      <c r="H358" s="2"/>
      <c r="I358" s="48"/>
      <c r="J358" s="48"/>
      <c r="K358" s="48"/>
      <c r="L358" s="48"/>
      <c r="M358" s="48"/>
      <c r="N358" s="48"/>
    </row>
    <row r="359" spans="2:14" x14ac:dyDescent="0.2">
      <c r="B359" s="48"/>
      <c r="C359" s="48"/>
      <c r="D359" s="48"/>
      <c r="E359" s="48"/>
      <c r="F359" s="48"/>
      <c r="G359" s="48"/>
      <c r="H359" s="2"/>
      <c r="I359" s="48"/>
      <c r="J359" s="48"/>
      <c r="K359" s="48"/>
      <c r="L359" s="48"/>
      <c r="M359" s="48"/>
      <c r="N359" s="48"/>
    </row>
    <row r="360" spans="2:14" x14ac:dyDescent="0.2">
      <c r="B360" s="48"/>
      <c r="C360" s="48"/>
      <c r="D360" s="48"/>
      <c r="E360" s="48"/>
      <c r="F360" s="48"/>
      <c r="G360" s="48"/>
      <c r="H360" s="2"/>
      <c r="I360" s="48"/>
      <c r="J360" s="48"/>
      <c r="K360" s="48"/>
      <c r="L360" s="48"/>
      <c r="M360" s="48"/>
      <c r="N360" s="48"/>
    </row>
    <row r="361" spans="2:14" x14ac:dyDescent="0.2">
      <c r="B361" s="48"/>
      <c r="C361" s="48"/>
      <c r="D361" s="48"/>
      <c r="E361" s="48"/>
      <c r="F361" s="48"/>
      <c r="G361" s="48"/>
      <c r="H361" s="2"/>
      <c r="I361" s="48"/>
      <c r="J361" s="48"/>
      <c r="K361" s="48"/>
      <c r="L361" s="48"/>
      <c r="M361" s="48"/>
      <c r="N361" s="48"/>
    </row>
    <row r="362" spans="2:14" x14ac:dyDescent="0.2">
      <c r="B362" s="48"/>
      <c r="C362" s="48"/>
      <c r="D362" s="48"/>
      <c r="E362" s="48"/>
      <c r="F362" s="48"/>
      <c r="G362" s="48"/>
      <c r="H362" s="2"/>
      <c r="I362" s="48"/>
      <c r="J362" s="48"/>
      <c r="K362" s="48"/>
      <c r="L362" s="48"/>
      <c r="M362" s="48"/>
      <c r="N362" s="48"/>
    </row>
    <row r="364" spans="2:14" x14ac:dyDescent="0.2">
      <c r="B364" s="40" t="s">
        <v>16</v>
      </c>
      <c r="C364" s="41"/>
      <c r="D364" s="46" t="str">
        <f>K347</f>
        <v>12/11</v>
      </c>
      <c r="E364" s="44"/>
      <c r="F364" s="44"/>
      <c r="G364" s="41"/>
      <c r="H364" s="2"/>
      <c r="I364" s="40" t="s">
        <v>16</v>
      </c>
      <c r="J364" s="41"/>
      <c r="K364" s="46" t="str">
        <f>D364</f>
        <v>12/11</v>
      </c>
      <c r="L364" s="44"/>
      <c r="M364" s="44"/>
      <c r="N364" s="41"/>
    </row>
    <row r="365" spans="2:14" x14ac:dyDescent="0.2">
      <c r="B365" s="42"/>
      <c r="C365" s="43"/>
      <c r="D365" s="42"/>
      <c r="E365" s="45"/>
      <c r="F365" s="45"/>
      <c r="G365" s="43"/>
      <c r="H365" s="2"/>
      <c r="I365" s="42"/>
      <c r="J365" s="43"/>
      <c r="K365" s="42"/>
      <c r="L365" s="45"/>
      <c r="M365" s="45"/>
      <c r="N365" s="43"/>
    </row>
    <row r="366" spans="2:14" x14ac:dyDescent="0.2">
      <c r="B366" s="40" t="s">
        <v>25</v>
      </c>
      <c r="C366" s="41"/>
      <c r="D366" s="46" t="str">
        <f>K349</f>
        <v>GS</v>
      </c>
      <c r="E366" s="44"/>
      <c r="F366" s="44"/>
      <c r="G366" s="41"/>
      <c r="H366" s="2"/>
      <c r="I366" s="40" t="s">
        <v>25</v>
      </c>
      <c r="J366" s="41"/>
      <c r="K366" s="46" t="str">
        <f>D366</f>
        <v>GS</v>
      </c>
      <c r="L366" s="44"/>
      <c r="M366" s="44"/>
      <c r="N366" s="41"/>
    </row>
    <row r="367" spans="2:14" x14ac:dyDescent="0.2">
      <c r="B367" s="42"/>
      <c r="C367" s="43"/>
      <c r="D367" s="42"/>
      <c r="E367" s="45"/>
      <c r="F367" s="45"/>
      <c r="G367" s="43"/>
      <c r="H367" s="2"/>
      <c r="I367" s="42"/>
      <c r="J367" s="43"/>
      <c r="K367" s="42"/>
      <c r="L367" s="45"/>
      <c r="M367" s="45"/>
      <c r="N367" s="43"/>
    </row>
    <row r="368" spans="2:14" ht="14.25" customHeight="1" x14ac:dyDescent="0.2">
      <c r="B368" s="40" t="s">
        <v>28</v>
      </c>
      <c r="C368" s="41"/>
      <c r="D368" s="40">
        <f>+K351+1</f>
        <v>43</v>
      </c>
      <c r="E368" s="44"/>
      <c r="F368" s="44"/>
      <c r="G368" s="41"/>
      <c r="H368" s="2"/>
      <c r="I368" s="40" t="s">
        <v>28</v>
      </c>
      <c r="J368" s="41"/>
      <c r="K368" s="40">
        <f>+D368+1</f>
        <v>44</v>
      </c>
      <c r="L368" s="44"/>
      <c r="M368" s="44"/>
      <c r="N368" s="41"/>
    </row>
    <row r="369" spans="2:14" ht="14.25" customHeight="1" x14ac:dyDescent="0.2">
      <c r="B369" s="42"/>
      <c r="C369" s="43"/>
      <c r="D369" s="42"/>
      <c r="E369" s="45"/>
      <c r="F369" s="45"/>
      <c r="G369" s="43"/>
      <c r="H369" s="2"/>
      <c r="I369" s="42"/>
      <c r="J369" s="43"/>
      <c r="K369" s="42"/>
      <c r="L369" s="45"/>
      <c r="M369" s="45"/>
      <c r="N369" s="43"/>
    </row>
    <row r="370" spans="2:14" x14ac:dyDescent="0.2">
      <c r="B370" s="40" t="s">
        <v>29</v>
      </c>
      <c r="C370" s="41"/>
      <c r="D370" s="55" t="str">
        <f>_xlfn.CONCAT("*",B373,"*")</f>
        <v>*GS-43-12/11*</v>
      </c>
      <c r="E370" s="56"/>
      <c r="F370" s="56"/>
      <c r="G370" s="57"/>
      <c r="H370" s="2"/>
      <c r="I370" s="40" t="s">
        <v>29</v>
      </c>
      <c r="J370" s="41"/>
      <c r="K370" s="55" t="str">
        <f>_xlfn.CONCAT("*",I373,"*")</f>
        <v>*GS-44-12/11*</v>
      </c>
      <c r="L370" s="56"/>
      <c r="M370" s="56"/>
      <c r="N370" s="57"/>
    </row>
    <row r="371" spans="2:14" x14ac:dyDescent="0.2">
      <c r="B371" s="42"/>
      <c r="C371" s="43"/>
      <c r="D371" s="58"/>
      <c r="E371" s="59"/>
      <c r="F371" s="59"/>
      <c r="G371" s="60"/>
      <c r="H371" s="2"/>
      <c r="I371" s="42"/>
      <c r="J371" s="43"/>
      <c r="K371" s="58"/>
      <c r="L371" s="59"/>
      <c r="M371" s="59"/>
      <c r="N371" s="60"/>
    </row>
    <row r="372" spans="2:14" ht="13.5" x14ac:dyDescent="0.2">
      <c r="B372" s="47" t="s">
        <v>30</v>
      </c>
      <c r="C372" s="47"/>
      <c r="D372" s="47"/>
      <c r="E372" s="47"/>
      <c r="F372" s="47"/>
      <c r="G372" s="47"/>
      <c r="H372" s="2"/>
      <c r="I372" s="47" t="s">
        <v>30</v>
      </c>
      <c r="J372" s="47"/>
      <c r="K372" s="47"/>
      <c r="L372" s="47"/>
      <c r="M372" s="47"/>
      <c r="N372" s="47"/>
    </row>
    <row r="373" spans="2:14" x14ac:dyDescent="0.2">
      <c r="B373" s="48" t="str">
        <f>_xlfn.CONCAT(D366,"-",D368,"-",D364)</f>
        <v>GS-43-12/11</v>
      </c>
      <c r="C373" s="48"/>
      <c r="D373" s="48"/>
      <c r="E373" s="48"/>
      <c r="F373" s="48"/>
      <c r="G373" s="48"/>
      <c r="H373" s="2"/>
      <c r="I373" s="48" t="str">
        <f>_xlfn.CONCAT(K366,"-",K368,"-",K364)</f>
        <v>GS-44-12/11</v>
      </c>
      <c r="J373" s="48"/>
      <c r="K373" s="48"/>
      <c r="L373" s="48"/>
      <c r="M373" s="48"/>
      <c r="N373" s="48"/>
    </row>
    <row r="374" spans="2:14" x14ac:dyDescent="0.2">
      <c r="B374" s="48"/>
      <c r="C374" s="48"/>
      <c r="D374" s="48"/>
      <c r="E374" s="48"/>
      <c r="F374" s="48"/>
      <c r="G374" s="48"/>
      <c r="H374" s="2"/>
      <c r="I374" s="48"/>
      <c r="J374" s="48"/>
      <c r="K374" s="48"/>
      <c r="L374" s="48"/>
      <c r="M374" s="48"/>
      <c r="N374" s="48"/>
    </row>
    <row r="375" spans="2:14" x14ac:dyDescent="0.2">
      <c r="B375" s="48"/>
      <c r="C375" s="48"/>
      <c r="D375" s="48"/>
      <c r="E375" s="48"/>
      <c r="F375" s="48"/>
      <c r="G375" s="48"/>
      <c r="H375" s="2"/>
      <c r="I375" s="48"/>
      <c r="J375" s="48"/>
      <c r="K375" s="48"/>
      <c r="L375" s="48"/>
      <c r="M375" s="48"/>
      <c r="N375" s="48"/>
    </row>
    <row r="376" spans="2:14" x14ac:dyDescent="0.2">
      <c r="B376" s="48"/>
      <c r="C376" s="48"/>
      <c r="D376" s="48"/>
      <c r="E376" s="48"/>
      <c r="F376" s="48"/>
      <c r="G376" s="48"/>
      <c r="H376" s="2"/>
      <c r="I376" s="48"/>
      <c r="J376" s="48"/>
      <c r="K376" s="48"/>
      <c r="L376" s="48"/>
      <c r="M376" s="48"/>
      <c r="N376" s="48"/>
    </row>
    <row r="377" spans="2:14" x14ac:dyDescent="0.2">
      <c r="B377" s="48"/>
      <c r="C377" s="48"/>
      <c r="D377" s="48"/>
      <c r="E377" s="48"/>
      <c r="F377" s="48"/>
      <c r="G377" s="48"/>
      <c r="H377" s="2"/>
      <c r="I377" s="48"/>
      <c r="J377" s="48"/>
      <c r="K377" s="48"/>
      <c r="L377" s="48"/>
      <c r="M377" s="48"/>
      <c r="N377" s="48"/>
    </row>
    <row r="378" spans="2:14" x14ac:dyDescent="0.2">
      <c r="B378" s="48"/>
      <c r="C378" s="48"/>
      <c r="D378" s="48"/>
      <c r="E378" s="48"/>
      <c r="F378" s="48"/>
      <c r="G378" s="48"/>
      <c r="H378" s="2"/>
      <c r="I378" s="48"/>
      <c r="J378" s="48"/>
      <c r="K378" s="48"/>
      <c r="L378" s="48"/>
      <c r="M378" s="48"/>
      <c r="N378" s="48"/>
    </row>
    <row r="379" spans="2:14" x14ac:dyDescent="0.2">
      <c r="B379" s="48"/>
      <c r="C379" s="48"/>
      <c r="D379" s="48"/>
      <c r="E379" s="48"/>
      <c r="F379" s="48"/>
      <c r="G379" s="48"/>
      <c r="H379" s="2"/>
      <c r="I379" s="48"/>
      <c r="J379" s="48"/>
      <c r="K379" s="48"/>
      <c r="L379" s="48"/>
      <c r="M379" s="48"/>
      <c r="N379" s="48"/>
    </row>
    <row r="381" spans="2:14" x14ac:dyDescent="0.2">
      <c r="B381" s="40" t="s">
        <v>16</v>
      </c>
      <c r="C381" s="41"/>
      <c r="D381" s="46" t="str">
        <f>K364</f>
        <v>12/11</v>
      </c>
      <c r="E381" s="44"/>
      <c r="F381" s="44"/>
      <c r="G381" s="41"/>
      <c r="H381" s="2"/>
      <c r="I381" s="40" t="s">
        <v>16</v>
      </c>
      <c r="J381" s="41"/>
      <c r="K381" s="46" t="str">
        <f>D381</f>
        <v>12/11</v>
      </c>
      <c r="L381" s="44"/>
      <c r="M381" s="44"/>
      <c r="N381" s="41"/>
    </row>
    <row r="382" spans="2:14" x14ac:dyDescent="0.2">
      <c r="B382" s="42"/>
      <c r="C382" s="43"/>
      <c r="D382" s="42"/>
      <c r="E382" s="45"/>
      <c r="F382" s="45"/>
      <c r="G382" s="43"/>
      <c r="H382" s="2"/>
      <c r="I382" s="42"/>
      <c r="J382" s="43"/>
      <c r="K382" s="42"/>
      <c r="L382" s="45"/>
      <c r="M382" s="45"/>
      <c r="N382" s="43"/>
    </row>
    <row r="383" spans="2:14" x14ac:dyDescent="0.2">
      <c r="B383" s="40" t="s">
        <v>25</v>
      </c>
      <c r="C383" s="41"/>
      <c r="D383" s="46" t="str">
        <f>K366</f>
        <v>GS</v>
      </c>
      <c r="E383" s="44"/>
      <c r="F383" s="44"/>
      <c r="G383" s="41"/>
      <c r="H383" s="2"/>
      <c r="I383" s="40" t="s">
        <v>25</v>
      </c>
      <c r="J383" s="41"/>
      <c r="K383" s="46" t="str">
        <f>D383</f>
        <v>GS</v>
      </c>
      <c r="L383" s="44"/>
      <c r="M383" s="44"/>
      <c r="N383" s="41"/>
    </row>
    <row r="384" spans="2:14" x14ac:dyDescent="0.2">
      <c r="B384" s="42"/>
      <c r="C384" s="43"/>
      <c r="D384" s="42"/>
      <c r="E384" s="45"/>
      <c r="F384" s="45"/>
      <c r="G384" s="43"/>
      <c r="H384" s="2"/>
      <c r="I384" s="42"/>
      <c r="J384" s="43"/>
      <c r="K384" s="42"/>
      <c r="L384" s="45"/>
      <c r="M384" s="45"/>
      <c r="N384" s="43"/>
    </row>
    <row r="385" spans="2:14" ht="14.25" customHeight="1" x14ac:dyDescent="0.2">
      <c r="B385" s="40" t="s">
        <v>28</v>
      </c>
      <c r="C385" s="41"/>
      <c r="D385" s="40">
        <f>+K368+1</f>
        <v>45</v>
      </c>
      <c r="E385" s="44"/>
      <c r="F385" s="44"/>
      <c r="G385" s="41"/>
      <c r="H385" s="2"/>
      <c r="I385" s="40" t="s">
        <v>28</v>
      </c>
      <c r="J385" s="41"/>
      <c r="K385" s="40">
        <f>+D385+1</f>
        <v>46</v>
      </c>
      <c r="L385" s="44"/>
      <c r="M385" s="44"/>
      <c r="N385" s="41"/>
    </row>
    <row r="386" spans="2:14" ht="14.25" customHeight="1" x14ac:dyDescent="0.2">
      <c r="B386" s="42"/>
      <c r="C386" s="43"/>
      <c r="D386" s="42"/>
      <c r="E386" s="45"/>
      <c r="F386" s="45"/>
      <c r="G386" s="43"/>
      <c r="H386" s="2"/>
      <c r="I386" s="42"/>
      <c r="J386" s="43"/>
      <c r="K386" s="42"/>
      <c r="L386" s="45"/>
      <c r="M386" s="45"/>
      <c r="N386" s="43"/>
    </row>
    <row r="387" spans="2:14" x14ac:dyDescent="0.2">
      <c r="B387" s="40" t="s">
        <v>29</v>
      </c>
      <c r="C387" s="41"/>
      <c r="D387" s="55" t="str">
        <f>_xlfn.CONCAT("*",B390,"*")</f>
        <v>*GS-45-12/11*</v>
      </c>
      <c r="E387" s="56"/>
      <c r="F387" s="56"/>
      <c r="G387" s="57"/>
      <c r="H387" s="2"/>
      <c r="I387" s="40" t="s">
        <v>29</v>
      </c>
      <c r="J387" s="41"/>
      <c r="K387" s="55" t="str">
        <f>_xlfn.CONCAT("*",I390,"*")</f>
        <v>*GS-46-12/11*</v>
      </c>
      <c r="L387" s="56"/>
      <c r="M387" s="56"/>
      <c r="N387" s="57"/>
    </row>
    <row r="388" spans="2:14" x14ac:dyDescent="0.2">
      <c r="B388" s="42"/>
      <c r="C388" s="43"/>
      <c r="D388" s="58"/>
      <c r="E388" s="59"/>
      <c r="F388" s="59"/>
      <c r="G388" s="60"/>
      <c r="H388" s="2"/>
      <c r="I388" s="42"/>
      <c r="J388" s="43"/>
      <c r="K388" s="58"/>
      <c r="L388" s="59"/>
      <c r="M388" s="59"/>
      <c r="N388" s="60"/>
    </row>
    <row r="389" spans="2:14" ht="13.5" x14ac:dyDescent="0.2">
      <c r="B389" s="47" t="s">
        <v>30</v>
      </c>
      <c r="C389" s="47"/>
      <c r="D389" s="47"/>
      <c r="E389" s="47"/>
      <c r="F389" s="47"/>
      <c r="G389" s="47"/>
      <c r="H389" s="2"/>
      <c r="I389" s="47" t="s">
        <v>30</v>
      </c>
      <c r="J389" s="47"/>
      <c r="K389" s="47"/>
      <c r="L389" s="47"/>
      <c r="M389" s="47"/>
      <c r="N389" s="47"/>
    </row>
    <row r="390" spans="2:14" x14ac:dyDescent="0.2">
      <c r="B390" s="48" t="str">
        <f>_xlfn.CONCAT(D383,"-",D385,"-",D381)</f>
        <v>GS-45-12/11</v>
      </c>
      <c r="C390" s="48"/>
      <c r="D390" s="48"/>
      <c r="E390" s="48"/>
      <c r="F390" s="48"/>
      <c r="G390" s="48"/>
      <c r="H390" s="2"/>
      <c r="I390" s="48" t="str">
        <f>_xlfn.CONCAT(K383,"-",K385,"-",K381)</f>
        <v>GS-46-12/11</v>
      </c>
      <c r="J390" s="48"/>
      <c r="K390" s="48"/>
      <c r="L390" s="48"/>
      <c r="M390" s="48"/>
      <c r="N390" s="48"/>
    </row>
    <row r="391" spans="2:14" x14ac:dyDescent="0.2">
      <c r="B391" s="48"/>
      <c r="C391" s="48"/>
      <c r="D391" s="48"/>
      <c r="E391" s="48"/>
      <c r="F391" s="48"/>
      <c r="G391" s="48"/>
      <c r="H391" s="2"/>
      <c r="I391" s="48"/>
      <c r="J391" s="48"/>
      <c r="K391" s="48"/>
      <c r="L391" s="48"/>
      <c r="M391" s="48"/>
      <c r="N391" s="48"/>
    </row>
    <row r="392" spans="2:14" x14ac:dyDescent="0.2">
      <c r="B392" s="48"/>
      <c r="C392" s="48"/>
      <c r="D392" s="48"/>
      <c r="E392" s="48"/>
      <c r="F392" s="48"/>
      <c r="G392" s="48"/>
      <c r="H392" s="2"/>
      <c r="I392" s="48"/>
      <c r="J392" s="48"/>
      <c r="K392" s="48"/>
      <c r="L392" s="48"/>
      <c r="M392" s="48"/>
      <c r="N392" s="48"/>
    </row>
    <row r="393" spans="2:14" x14ac:dyDescent="0.2">
      <c r="B393" s="48"/>
      <c r="C393" s="48"/>
      <c r="D393" s="48"/>
      <c r="E393" s="48"/>
      <c r="F393" s="48"/>
      <c r="G393" s="48"/>
      <c r="H393" s="2"/>
      <c r="I393" s="48"/>
      <c r="J393" s="48"/>
      <c r="K393" s="48"/>
      <c r="L393" s="48"/>
      <c r="M393" s="48"/>
      <c r="N393" s="48"/>
    </row>
    <row r="394" spans="2:14" x14ac:dyDescent="0.2">
      <c r="B394" s="48"/>
      <c r="C394" s="48"/>
      <c r="D394" s="48"/>
      <c r="E394" s="48"/>
      <c r="F394" s="48"/>
      <c r="G394" s="48"/>
      <c r="H394" s="2"/>
      <c r="I394" s="48"/>
      <c r="J394" s="48"/>
      <c r="K394" s="48"/>
      <c r="L394" s="48"/>
      <c r="M394" s="48"/>
      <c r="N394" s="48"/>
    </row>
    <row r="395" spans="2:14" x14ac:dyDescent="0.2">
      <c r="B395" s="48"/>
      <c r="C395" s="48"/>
      <c r="D395" s="48"/>
      <c r="E395" s="48"/>
      <c r="F395" s="48"/>
      <c r="G395" s="48"/>
      <c r="H395" s="2"/>
      <c r="I395" s="48"/>
      <c r="J395" s="48"/>
      <c r="K395" s="48"/>
      <c r="L395" s="48"/>
      <c r="M395" s="48"/>
      <c r="N395" s="48"/>
    </row>
    <row r="396" spans="2:14" x14ac:dyDescent="0.2">
      <c r="B396" s="48"/>
      <c r="C396" s="48"/>
      <c r="D396" s="48"/>
      <c r="E396" s="48"/>
      <c r="F396" s="48"/>
      <c r="G396" s="48"/>
      <c r="H396" s="2"/>
      <c r="I396" s="48"/>
      <c r="J396" s="48"/>
      <c r="K396" s="48"/>
      <c r="L396" s="48"/>
      <c r="M396" s="48"/>
      <c r="N396" s="48"/>
    </row>
    <row r="398" spans="2:14" x14ac:dyDescent="0.2">
      <c r="B398" s="40" t="s">
        <v>16</v>
      </c>
      <c r="C398" s="41"/>
      <c r="D398" s="46" t="str">
        <f>K381</f>
        <v>12/11</v>
      </c>
      <c r="E398" s="44"/>
      <c r="F398" s="44"/>
      <c r="G398" s="41"/>
      <c r="H398" s="2"/>
      <c r="I398" s="40" t="s">
        <v>16</v>
      </c>
      <c r="J398" s="41"/>
      <c r="K398" s="46" t="str">
        <f>D398</f>
        <v>12/11</v>
      </c>
      <c r="L398" s="44"/>
      <c r="M398" s="44"/>
      <c r="N398" s="41"/>
    </row>
    <row r="399" spans="2:14" x14ac:dyDescent="0.2">
      <c r="B399" s="42"/>
      <c r="C399" s="43"/>
      <c r="D399" s="42"/>
      <c r="E399" s="45"/>
      <c r="F399" s="45"/>
      <c r="G399" s="43"/>
      <c r="H399" s="2"/>
      <c r="I399" s="42"/>
      <c r="J399" s="43"/>
      <c r="K399" s="42"/>
      <c r="L399" s="45"/>
      <c r="M399" s="45"/>
      <c r="N399" s="43"/>
    </row>
    <row r="400" spans="2:14" x14ac:dyDescent="0.2">
      <c r="B400" s="40" t="s">
        <v>25</v>
      </c>
      <c r="C400" s="41"/>
      <c r="D400" s="46" t="str">
        <f>K383</f>
        <v>GS</v>
      </c>
      <c r="E400" s="44"/>
      <c r="F400" s="44"/>
      <c r="G400" s="41"/>
      <c r="H400" s="2"/>
      <c r="I400" s="40" t="s">
        <v>25</v>
      </c>
      <c r="J400" s="41"/>
      <c r="K400" s="46" t="str">
        <f>D400</f>
        <v>GS</v>
      </c>
      <c r="L400" s="44"/>
      <c r="M400" s="44"/>
      <c r="N400" s="41"/>
    </row>
    <row r="401" spans="2:14" x14ac:dyDescent="0.2">
      <c r="B401" s="42"/>
      <c r="C401" s="43"/>
      <c r="D401" s="42"/>
      <c r="E401" s="45"/>
      <c r="F401" s="45"/>
      <c r="G401" s="43"/>
      <c r="H401" s="2"/>
      <c r="I401" s="42"/>
      <c r="J401" s="43"/>
      <c r="K401" s="42"/>
      <c r="L401" s="45"/>
      <c r="M401" s="45"/>
      <c r="N401" s="43"/>
    </row>
    <row r="402" spans="2:14" ht="14.25" customHeight="1" x14ac:dyDescent="0.2">
      <c r="B402" s="40" t="s">
        <v>28</v>
      </c>
      <c r="C402" s="41"/>
      <c r="D402" s="40">
        <f>+K385+1</f>
        <v>47</v>
      </c>
      <c r="E402" s="44"/>
      <c r="F402" s="44"/>
      <c r="G402" s="41"/>
      <c r="H402" s="2"/>
      <c r="I402" s="40" t="s">
        <v>28</v>
      </c>
      <c r="J402" s="41"/>
      <c r="K402" s="40">
        <f>+D402+1</f>
        <v>48</v>
      </c>
      <c r="L402" s="44"/>
      <c r="M402" s="44"/>
      <c r="N402" s="41"/>
    </row>
    <row r="403" spans="2:14" ht="14.25" customHeight="1" x14ac:dyDescent="0.2">
      <c r="B403" s="42"/>
      <c r="C403" s="43"/>
      <c r="D403" s="42"/>
      <c r="E403" s="45"/>
      <c r="F403" s="45"/>
      <c r="G403" s="43"/>
      <c r="H403" s="2"/>
      <c r="I403" s="42"/>
      <c r="J403" s="43"/>
      <c r="K403" s="42"/>
      <c r="L403" s="45"/>
      <c r="M403" s="45"/>
      <c r="N403" s="43"/>
    </row>
    <row r="404" spans="2:14" x14ac:dyDescent="0.2">
      <c r="B404" s="40" t="s">
        <v>29</v>
      </c>
      <c r="C404" s="41"/>
      <c r="D404" s="55" t="str">
        <f>_xlfn.CONCAT("*",B407,"*")</f>
        <v>*GS-47-12/11*</v>
      </c>
      <c r="E404" s="56"/>
      <c r="F404" s="56"/>
      <c r="G404" s="57"/>
      <c r="H404" s="2"/>
      <c r="I404" s="40" t="s">
        <v>29</v>
      </c>
      <c r="J404" s="41"/>
      <c r="K404" s="55" t="str">
        <f>_xlfn.CONCAT("*",I407,"*")</f>
        <v>*GS-48-12/11*</v>
      </c>
      <c r="L404" s="56"/>
      <c r="M404" s="56"/>
      <c r="N404" s="57"/>
    </row>
    <row r="405" spans="2:14" x14ac:dyDescent="0.2">
      <c r="B405" s="42"/>
      <c r="C405" s="43"/>
      <c r="D405" s="58"/>
      <c r="E405" s="59"/>
      <c r="F405" s="59"/>
      <c r="G405" s="60"/>
      <c r="H405" s="2"/>
      <c r="I405" s="42"/>
      <c r="J405" s="43"/>
      <c r="K405" s="58"/>
      <c r="L405" s="59"/>
      <c r="M405" s="59"/>
      <c r="N405" s="60"/>
    </row>
    <row r="406" spans="2:14" ht="13.5" x14ac:dyDescent="0.2">
      <c r="B406" s="47" t="s">
        <v>30</v>
      </c>
      <c r="C406" s="47"/>
      <c r="D406" s="47"/>
      <c r="E406" s="47"/>
      <c r="F406" s="47"/>
      <c r="G406" s="47"/>
      <c r="H406" s="2"/>
      <c r="I406" s="47" t="s">
        <v>30</v>
      </c>
      <c r="J406" s="47"/>
      <c r="K406" s="47"/>
      <c r="L406" s="47"/>
      <c r="M406" s="47"/>
      <c r="N406" s="47"/>
    </row>
    <row r="407" spans="2:14" x14ac:dyDescent="0.2">
      <c r="B407" s="48" t="str">
        <f>_xlfn.CONCAT(D400,"-",D402,"-",D398)</f>
        <v>GS-47-12/11</v>
      </c>
      <c r="C407" s="48"/>
      <c r="D407" s="48"/>
      <c r="E407" s="48"/>
      <c r="F407" s="48"/>
      <c r="G407" s="48"/>
      <c r="H407" s="2"/>
      <c r="I407" s="48" t="str">
        <f>_xlfn.CONCAT(K400,"-",K402,"-",K398)</f>
        <v>GS-48-12/11</v>
      </c>
      <c r="J407" s="48"/>
      <c r="K407" s="48"/>
      <c r="L407" s="48"/>
      <c r="M407" s="48"/>
      <c r="N407" s="48"/>
    </row>
    <row r="408" spans="2:14" x14ac:dyDescent="0.2">
      <c r="B408" s="48"/>
      <c r="C408" s="48"/>
      <c r="D408" s="48"/>
      <c r="E408" s="48"/>
      <c r="F408" s="48"/>
      <c r="G408" s="48"/>
      <c r="H408" s="2"/>
      <c r="I408" s="48"/>
      <c r="J408" s="48"/>
      <c r="K408" s="48"/>
      <c r="L408" s="48"/>
      <c r="M408" s="48"/>
      <c r="N408" s="48"/>
    </row>
    <row r="409" spans="2:14" x14ac:dyDescent="0.2">
      <c r="B409" s="48"/>
      <c r="C409" s="48"/>
      <c r="D409" s="48"/>
      <c r="E409" s="48"/>
      <c r="F409" s="48"/>
      <c r="G409" s="48"/>
      <c r="H409" s="2"/>
      <c r="I409" s="48"/>
      <c r="J409" s="48"/>
      <c r="K409" s="48"/>
      <c r="L409" s="48"/>
      <c r="M409" s="48"/>
      <c r="N409" s="48"/>
    </row>
    <row r="410" spans="2:14" x14ac:dyDescent="0.2">
      <c r="B410" s="48"/>
      <c r="C410" s="48"/>
      <c r="D410" s="48"/>
      <c r="E410" s="48"/>
      <c r="F410" s="48"/>
      <c r="G410" s="48"/>
      <c r="H410" s="2"/>
      <c r="I410" s="48"/>
      <c r="J410" s="48"/>
      <c r="K410" s="48"/>
      <c r="L410" s="48"/>
      <c r="M410" s="48"/>
      <c r="N410" s="48"/>
    </row>
    <row r="411" spans="2:14" x14ac:dyDescent="0.2">
      <c r="B411" s="48"/>
      <c r="C411" s="48"/>
      <c r="D411" s="48"/>
      <c r="E411" s="48"/>
      <c r="F411" s="48"/>
      <c r="G411" s="48"/>
      <c r="H411" s="2"/>
      <c r="I411" s="48"/>
      <c r="J411" s="48"/>
      <c r="K411" s="48"/>
      <c r="L411" s="48"/>
      <c r="M411" s="48"/>
      <c r="N411" s="48"/>
    </row>
    <row r="412" spans="2:14" x14ac:dyDescent="0.2">
      <c r="B412" s="48"/>
      <c r="C412" s="48"/>
      <c r="D412" s="48"/>
      <c r="E412" s="48"/>
      <c r="F412" s="48"/>
      <c r="G412" s="48"/>
      <c r="H412" s="2"/>
      <c r="I412" s="48"/>
      <c r="J412" s="48"/>
      <c r="K412" s="48"/>
      <c r="L412" s="48"/>
      <c r="M412" s="48"/>
      <c r="N412" s="48"/>
    </row>
    <row r="413" spans="2:14" x14ac:dyDescent="0.2">
      <c r="B413" s="48"/>
      <c r="C413" s="48"/>
      <c r="D413" s="48"/>
      <c r="E413" s="48"/>
      <c r="F413" s="48"/>
      <c r="G413" s="48"/>
      <c r="H413" s="2"/>
      <c r="I413" s="48"/>
      <c r="J413" s="48"/>
      <c r="K413" s="48"/>
      <c r="L413" s="48"/>
      <c r="M413" s="48"/>
      <c r="N413" s="48"/>
    </row>
    <row r="415" spans="2:14" x14ac:dyDescent="0.2">
      <c r="B415" s="40" t="s">
        <v>16</v>
      </c>
      <c r="C415" s="41"/>
      <c r="D415" s="46" t="str">
        <f>K398</f>
        <v>12/11</v>
      </c>
      <c r="E415" s="44"/>
      <c r="F415" s="44"/>
      <c r="G415" s="41"/>
      <c r="H415" s="2"/>
      <c r="I415" s="40" t="s">
        <v>16</v>
      </c>
      <c r="J415" s="41"/>
      <c r="K415" s="46" t="str">
        <f>D415</f>
        <v>12/11</v>
      </c>
      <c r="L415" s="44"/>
      <c r="M415" s="44"/>
      <c r="N415" s="41"/>
    </row>
    <row r="416" spans="2:14" x14ac:dyDescent="0.2">
      <c r="B416" s="42"/>
      <c r="C416" s="43"/>
      <c r="D416" s="42"/>
      <c r="E416" s="45"/>
      <c r="F416" s="45"/>
      <c r="G416" s="43"/>
      <c r="H416" s="2"/>
      <c r="I416" s="42"/>
      <c r="J416" s="43"/>
      <c r="K416" s="42"/>
      <c r="L416" s="45"/>
      <c r="M416" s="45"/>
      <c r="N416" s="43"/>
    </row>
    <row r="417" spans="2:14" x14ac:dyDescent="0.2">
      <c r="B417" s="40" t="s">
        <v>25</v>
      </c>
      <c r="C417" s="41"/>
      <c r="D417" s="46" t="str">
        <f>K400</f>
        <v>GS</v>
      </c>
      <c r="E417" s="44"/>
      <c r="F417" s="44"/>
      <c r="G417" s="41"/>
      <c r="H417" s="2"/>
      <c r="I417" s="40" t="s">
        <v>25</v>
      </c>
      <c r="J417" s="41"/>
      <c r="K417" s="46" t="str">
        <f>D417</f>
        <v>GS</v>
      </c>
      <c r="L417" s="44"/>
      <c r="M417" s="44"/>
      <c r="N417" s="41"/>
    </row>
    <row r="418" spans="2:14" x14ac:dyDescent="0.2">
      <c r="B418" s="42"/>
      <c r="C418" s="43"/>
      <c r="D418" s="42"/>
      <c r="E418" s="45"/>
      <c r="F418" s="45"/>
      <c r="G418" s="43"/>
      <c r="H418" s="2"/>
      <c r="I418" s="42"/>
      <c r="J418" s="43"/>
      <c r="K418" s="42"/>
      <c r="L418" s="45"/>
      <c r="M418" s="45"/>
      <c r="N418" s="43"/>
    </row>
    <row r="419" spans="2:14" ht="14.25" customHeight="1" x14ac:dyDescent="0.2">
      <c r="B419" s="40" t="s">
        <v>28</v>
      </c>
      <c r="C419" s="41"/>
      <c r="D419" s="40">
        <f>+K402+1</f>
        <v>49</v>
      </c>
      <c r="E419" s="44"/>
      <c r="F419" s="44"/>
      <c r="G419" s="41"/>
      <c r="H419" s="2"/>
      <c r="I419" s="40" t="s">
        <v>28</v>
      </c>
      <c r="J419" s="41"/>
      <c r="K419" s="40">
        <f>+D419+1</f>
        <v>50</v>
      </c>
      <c r="L419" s="44"/>
      <c r="M419" s="44"/>
      <c r="N419" s="41"/>
    </row>
    <row r="420" spans="2:14" ht="14.25" customHeight="1" x14ac:dyDescent="0.2">
      <c r="B420" s="42"/>
      <c r="C420" s="43"/>
      <c r="D420" s="42"/>
      <c r="E420" s="45"/>
      <c r="F420" s="45"/>
      <c r="G420" s="43"/>
      <c r="H420" s="2"/>
      <c r="I420" s="42"/>
      <c r="J420" s="43"/>
      <c r="K420" s="42"/>
      <c r="L420" s="45"/>
      <c r="M420" s="45"/>
      <c r="N420" s="43"/>
    </row>
    <row r="421" spans="2:14" x14ac:dyDescent="0.2">
      <c r="B421" s="40" t="s">
        <v>29</v>
      </c>
      <c r="C421" s="41"/>
      <c r="D421" s="55" t="str">
        <f>_xlfn.CONCAT("*",B424,"*")</f>
        <v>*GS-49-12/11*</v>
      </c>
      <c r="E421" s="56"/>
      <c r="F421" s="56"/>
      <c r="G421" s="57"/>
      <c r="H421" s="2"/>
      <c r="I421" s="40" t="s">
        <v>29</v>
      </c>
      <c r="J421" s="41"/>
      <c r="K421" s="55" t="str">
        <f>_xlfn.CONCAT("*",I424,"*")</f>
        <v>*GS-50-12/11*</v>
      </c>
      <c r="L421" s="56"/>
      <c r="M421" s="56"/>
      <c r="N421" s="57"/>
    </row>
    <row r="422" spans="2:14" x14ac:dyDescent="0.2">
      <c r="B422" s="42"/>
      <c r="C422" s="43"/>
      <c r="D422" s="58"/>
      <c r="E422" s="59"/>
      <c r="F422" s="59"/>
      <c r="G422" s="60"/>
      <c r="H422" s="2"/>
      <c r="I422" s="42"/>
      <c r="J422" s="43"/>
      <c r="K422" s="58"/>
      <c r="L422" s="59"/>
      <c r="M422" s="59"/>
      <c r="N422" s="60"/>
    </row>
    <row r="423" spans="2:14" ht="13.5" x14ac:dyDescent="0.2">
      <c r="B423" s="47" t="s">
        <v>30</v>
      </c>
      <c r="C423" s="47"/>
      <c r="D423" s="47"/>
      <c r="E423" s="47"/>
      <c r="F423" s="47"/>
      <c r="G423" s="47"/>
      <c r="H423" s="2"/>
      <c r="I423" s="47" t="s">
        <v>30</v>
      </c>
      <c r="J423" s="47"/>
      <c r="K423" s="47"/>
      <c r="L423" s="47"/>
      <c r="M423" s="47"/>
      <c r="N423" s="47"/>
    </row>
    <row r="424" spans="2:14" x14ac:dyDescent="0.2">
      <c r="B424" s="48" t="str">
        <f>_xlfn.CONCAT(D417,"-",D419,"-",D415)</f>
        <v>GS-49-12/11</v>
      </c>
      <c r="C424" s="48"/>
      <c r="D424" s="48"/>
      <c r="E424" s="48"/>
      <c r="F424" s="48"/>
      <c r="G424" s="48"/>
      <c r="H424" s="2"/>
      <c r="I424" s="48" t="str">
        <f>_xlfn.CONCAT(K417,"-",K419,"-",K415)</f>
        <v>GS-50-12/11</v>
      </c>
      <c r="J424" s="48"/>
      <c r="K424" s="48"/>
      <c r="L424" s="48"/>
      <c r="M424" s="48"/>
      <c r="N424" s="48"/>
    </row>
    <row r="425" spans="2:14" x14ac:dyDescent="0.2">
      <c r="B425" s="48"/>
      <c r="C425" s="48"/>
      <c r="D425" s="48"/>
      <c r="E425" s="48"/>
      <c r="F425" s="48"/>
      <c r="G425" s="48"/>
      <c r="H425" s="2"/>
      <c r="I425" s="48"/>
      <c r="J425" s="48"/>
      <c r="K425" s="48"/>
      <c r="L425" s="48"/>
      <c r="M425" s="48"/>
      <c r="N425" s="48"/>
    </row>
    <row r="426" spans="2:14" x14ac:dyDescent="0.2">
      <c r="B426" s="48"/>
      <c r="C426" s="48"/>
      <c r="D426" s="48"/>
      <c r="E426" s="48"/>
      <c r="F426" s="48"/>
      <c r="G426" s="48"/>
      <c r="H426" s="2"/>
      <c r="I426" s="48"/>
      <c r="J426" s="48"/>
      <c r="K426" s="48"/>
      <c r="L426" s="48"/>
      <c r="M426" s="48"/>
      <c r="N426" s="48"/>
    </row>
    <row r="427" spans="2:14" x14ac:dyDescent="0.2">
      <c r="B427" s="48"/>
      <c r="C427" s="48"/>
      <c r="D427" s="48"/>
      <c r="E427" s="48"/>
      <c r="F427" s="48"/>
      <c r="G427" s="48"/>
      <c r="H427" s="2"/>
      <c r="I427" s="48"/>
      <c r="J427" s="48"/>
      <c r="K427" s="48"/>
      <c r="L427" s="48"/>
      <c r="M427" s="48"/>
      <c r="N427" s="48"/>
    </row>
    <row r="428" spans="2:14" x14ac:dyDescent="0.2">
      <c r="B428" s="48"/>
      <c r="C428" s="48"/>
      <c r="D428" s="48"/>
      <c r="E428" s="48"/>
      <c r="F428" s="48"/>
      <c r="G428" s="48"/>
      <c r="H428" s="2"/>
      <c r="I428" s="48"/>
      <c r="J428" s="48"/>
      <c r="K428" s="48"/>
      <c r="L428" s="48"/>
      <c r="M428" s="48"/>
      <c r="N428" s="48"/>
    </row>
    <row r="429" spans="2:14" x14ac:dyDescent="0.2">
      <c r="B429" s="48"/>
      <c r="C429" s="48"/>
      <c r="D429" s="48"/>
      <c r="E429" s="48"/>
      <c r="F429" s="48"/>
      <c r="G429" s="48"/>
      <c r="H429" s="2"/>
      <c r="I429" s="48"/>
      <c r="J429" s="48"/>
      <c r="K429" s="48"/>
      <c r="L429" s="48"/>
      <c r="M429" s="48"/>
      <c r="N429" s="48"/>
    </row>
    <row r="430" spans="2:14" x14ac:dyDescent="0.2">
      <c r="B430" s="48"/>
      <c r="C430" s="48"/>
      <c r="D430" s="48"/>
      <c r="E430" s="48"/>
      <c r="F430" s="48"/>
      <c r="G430" s="48"/>
      <c r="H430" s="2"/>
      <c r="I430" s="48"/>
      <c r="J430" s="48"/>
      <c r="K430" s="48"/>
      <c r="L430" s="48"/>
      <c r="M430" s="48"/>
      <c r="N430" s="48"/>
    </row>
  </sheetData>
  <mergeCells count="500">
    <mergeCell ref="B424:G430"/>
    <mergeCell ref="I424:N430"/>
    <mergeCell ref="B421:C422"/>
    <mergeCell ref="D421:G422"/>
    <mergeCell ref="I421:J422"/>
    <mergeCell ref="K421:N422"/>
    <mergeCell ref="B423:G423"/>
    <mergeCell ref="I423:N423"/>
    <mergeCell ref="B417:C418"/>
    <mergeCell ref="D417:G418"/>
    <mergeCell ref="I417:J418"/>
    <mergeCell ref="K417:N418"/>
    <mergeCell ref="B419:C420"/>
    <mergeCell ref="D419:G420"/>
    <mergeCell ref="I419:J420"/>
    <mergeCell ref="K419:N420"/>
    <mergeCell ref="B407:G413"/>
    <mergeCell ref="I407:N413"/>
    <mergeCell ref="B415:C416"/>
    <mergeCell ref="D415:G416"/>
    <mergeCell ref="I415:J416"/>
    <mergeCell ref="K415:N416"/>
    <mergeCell ref="B404:C405"/>
    <mergeCell ref="D404:G405"/>
    <mergeCell ref="I404:J405"/>
    <mergeCell ref="K404:N405"/>
    <mergeCell ref="B406:G406"/>
    <mergeCell ref="I406:N406"/>
    <mergeCell ref="B400:C401"/>
    <mergeCell ref="D400:G401"/>
    <mergeCell ref="I400:J401"/>
    <mergeCell ref="K400:N401"/>
    <mergeCell ref="B402:C403"/>
    <mergeCell ref="D402:G403"/>
    <mergeCell ref="I402:J403"/>
    <mergeCell ref="K402:N403"/>
    <mergeCell ref="B390:G396"/>
    <mergeCell ref="I390:N396"/>
    <mergeCell ref="B398:C399"/>
    <mergeCell ref="D398:G399"/>
    <mergeCell ref="I398:J399"/>
    <mergeCell ref="K398:N399"/>
    <mergeCell ref="B387:C388"/>
    <mergeCell ref="D387:G388"/>
    <mergeCell ref="I387:J388"/>
    <mergeCell ref="K387:N388"/>
    <mergeCell ref="B389:G389"/>
    <mergeCell ref="I389:N389"/>
    <mergeCell ref="B383:C384"/>
    <mergeCell ref="D383:G384"/>
    <mergeCell ref="I383:J384"/>
    <mergeCell ref="K383:N384"/>
    <mergeCell ref="B385:C386"/>
    <mergeCell ref="D385:G386"/>
    <mergeCell ref="I385:J386"/>
    <mergeCell ref="K385:N386"/>
    <mergeCell ref="B373:G379"/>
    <mergeCell ref="I373:N379"/>
    <mergeCell ref="B381:C382"/>
    <mergeCell ref="D381:G382"/>
    <mergeCell ref="I381:J382"/>
    <mergeCell ref="K381:N382"/>
    <mergeCell ref="B370:C371"/>
    <mergeCell ref="D370:G371"/>
    <mergeCell ref="I370:J371"/>
    <mergeCell ref="K370:N371"/>
    <mergeCell ref="B372:G372"/>
    <mergeCell ref="I372:N372"/>
    <mergeCell ref="B366:C367"/>
    <mergeCell ref="D366:G367"/>
    <mergeCell ref="I366:J367"/>
    <mergeCell ref="K366:N367"/>
    <mergeCell ref="B368:C369"/>
    <mergeCell ref="D368:G369"/>
    <mergeCell ref="I368:J369"/>
    <mergeCell ref="K368:N369"/>
    <mergeCell ref="B356:G362"/>
    <mergeCell ref="I356:N362"/>
    <mergeCell ref="B364:C365"/>
    <mergeCell ref="D364:G365"/>
    <mergeCell ref="I364:J365"/>
    <mergeCell ref="K364:N365"/>
    <mergeCell ref="B353:C354"/>
    <mergeCell ref="D353:G354"/>
    <mergeCell ref="I353:J354"/>
    <mergeCell ref="K353:N354"/>
    <mergeCell ref="B355:G355"/>
    <mergeCell ref="I355:N355"/>
    <mergeCell ref="B349:C350"/>
    <mergeCell ref="D349:G350"/>
    <mergeCell ref="I349:J350"/>
    <mergeCell ref="K349:N350"/>
    <mergeCell ref="B351:C352"/>
    <mergeCell ref="D351:G352"/>
    <mergeCell ref="I351:J352"/>
    <mergeCell ref="K351:N352"/>
    <mergeCell ref="B339:G345"/>
    <mergeCell ref="I339:N345"/>
    <mergeCell ref="B347:C348"/>
    <mergeCell ref="D347:G348"/>
    <mergeCell ref="I347:J348"/>
    <mergeCell ref="K347:N348"/>
    <mergeCell ref="B336:C337"/>
    <mergeCell ref="D336:G337"/>
    <mergeCell ref="I336:J337"/>
    <mergeCell ref="K336:N337"/>
    <mergeCell ref="B338:G338"/>
    <mergeCell ref="I338:N338"/>
    <mergeCell ref="B332:C333"/>
    <mergeCell ref="D332:G333"/>
    <mergeCell ref="I332:J333"/>
    <mergeCell ref="K332:N333"/>
    <mergeCell ref="B334:C335"/>
    <mergeCell ref="D334:G335"/>
    <mergeCell ref="I334:J335"/>
    <mergeCell ref="K334:N335"/>
    <mergeCell ref="B322:G328"/>
    <mergeCell ref="I322:N328"/>
    <mergeCell ref="B330:C331"/>
    <mergeCell ref="D330:G331"/>
    <mergeCell ref="I330:J331"/>
    <mergeCell ref="K330:N331"/>
    <mergeCell ref="B319:C320"/>
    <mergeCell ref="D319:G320"/>
    <mergeCell ref="I319:J320"/>
    <mergeCell ref="K319:N320"/>
    <mergeCell ref="B321:G321"/>
    <mergeCell ref="I321:N321"/>
    <mergeCell ref="B315:C316"/>
    <mergeCell ref="D315:G316"/>
    <mergeCell ref="I315:J316"/>
    <mergeCell ref="K315:N316"/>
    <mergeCell ref="B317:C318"/>
    <mergeCell ref="D317:G318"/>
    <mergeCell ref="I317:J318"/>
    <mergeCell ref="K317:N318"/>
    <mergeCell ref="B305:G311"/>
    <mergeCell ref="I305:N311"/>
    <mergeCell ref="B313:C314"/>
    <mergeCell ref="D313:G314"/>
    <mergeCell ref="I313:J314"/>
    <mergeCell ref="K313:N314"/>
    <mergeCell ref="B302:C303"/>
    <mergeCell ref="D302:G303"/>
    <mergeCell ref="I302:J303"/>
    <mergeCell ref="K302:N303"/>
    <mergeCell ref="B304:G304"/>
    <mergeCell ref="I304:N304"/>
    <mergeCell ref="B298:C299"/>
    <mergeCell ref="D298:G299"/>
    <mergeCell ref="I298:J299"/>
    <mergeCell ref="K298:N299"/>
    <mergeCell ref="B300:C301"/>
    <mergeCell ref="D300:G301"/>
    <mergeCell ref="I300:J301"/>
    <mergeCell ref="K300:N301"/>
    <mergeCell ref="B288:G294"/>
    <mergeCell ref="I288:N294"/>
    <mergeCell ref="B296:C297"/>
    <mergeCell ref="D296:G297"/>
    <mergeCell ref="I296:J297"/>
    <mergeCell ref="K296:N297"/>
    <mergeCell ref="B285:C286"/>
    <mergeCell ref="D285:G286"/>
    <mergeCell ref="I285:J286"/>
    <mergeCell ref="K285:N286"/>
    <mergeCell ref="B287:G287"/>
    <mergeCell ref="I287:N287"/>
    <mergeCell ref="B281:C282"/>
    <mergeCell ref="D281:G282"/>
    <mergeCell ref="I281:J282"/>
    <mergeCell ref="K281:N282"/>
    <mergeCell ref="B283:C284"/>
    <mergeCell ref="D283:G284"/>
    <mergeCell ref="I283:J284"/>
    <mergeCell ref="K283:N284"/>
    <mergeCell ref="B271:G277"/>
    <mergeCell ref="I271:N277"/>
    <mergeCell ref="B279:C280"/>
    <mergeCell ref="D279:G280"/>
    <mergeCell ref="I279:J280"/>
    <mergeCell ref="K279:N280"/>
    <mergeCell ref="B268:C269"/>
    <mergeCell ref="D268:G269"/>
    <mergeCell ref="I268:J269"/>
    <mergeCell ref="K268:N269"/>
    <mergeCell ref="B270:G270"/>
    <mergeCell ref="I270:N270"/>
    <mergeCell ref="B264:C265"/>
    <mergeCell ref="D264:G265"/>
    <mergeCell ref="I264:J265"/>
    <mergeCell ref="K264:N265"/>
    <mergeCell ref="B266:C267"/>
    <mergeCell ref="D266:G267"/>
    <mergeCell ref="I266:J267"/>
    <mergeCell ref="K266:N267"/>
    <mergeCell ref="B254:G260"/>
    <mergeCell ref="I254:N260"/>
    <mergeCell ref="B262:C263"/>
    <mergeCell ref="D262:G263"/>
    <mergeCell ref="I262:J263"/>
    <mergeCell ref="K262:N263"/>
    <mergeCell ref="B251:C252"/>
    <mergeCell ref="D251:G252"/>
    <mergeCell ref="I251:J252"/>
    <mergeCell ref="K251:N252"/>
    <mergeCell ref="B253:G253"/>
    <mergeCell ref="I253:N253"/>
    <mergeCell ref="B247:C248"/>
    <mergeCell ref="D247:G248"/>
    <mergeCell ref="I247:J248"/>
    <mergeCell ref="K247:N248"/>
    <mergeCell ref="B249:C250"/>
    <mergeCell ref="D249:G250"/>
    <mergeCell ref="I249:J250"/>
    <mergeCell ref="K249:N250"/>
    <mergeCell ref="B237:G243"/>
    <mergeCell ref="I237:N243"/>
    <mergeCell ref="B245:C246"/>
    <mergeCell ref="D245:G246"/>
    <mergeCell ref="I245:J246"/>
    <mergeCell ref="K245:N246"/>
    <mergeCell ref="B234:C235"/>
    <mergeCell ref="D234:G235"/>
    <mergeCell ref="I234:J235"/>
    <mergeCell ref="K234:N235"/>
    <mergeCell ref="B236:G236"/>
    <mergeCell ref="I236:N236"/>
    <mergeCell ref="B230:C231"/>
    <mergeCell ref="D230:G231"/>
    <mergeCell ref="I230:J231"/>
    <mergeCell ref="K230:N231"/>
    <mergeCell ref="B232:C233"/>
    <mergeCell ref="D232:G233"/>
    <mergeCell ref="I232:J233"/>
    <mergeCell ref="K232:N233"/>
    <mergeCell ref="B220:G226"/>
    <mergeCell ref="I220:N226"/>
    <mergeCell ref="B228:C229"/>
    <mergeCell ref="D228:G229"/>
    <mergeCell ref="I228:J229"/>
    <mergeCell ref="K228:N229"/>
    <mergeCell ref="B217:C218"/>
    <mergeCell ref="D217:G218"/>
    <mergeCell ref="I217:J218"/>
    <mergeCell ref="K217:N218"/>
    <mergeCell ref="B219:G219"/>
    <mergeCell ref="I219:N219"/>
    <mergeCell ref="B213:C214"/>
    <mergeCell ref="D213:G214"/>
    <mergeCell ref="I213:J214"/>
    <mergeCell ref="K213:N214"/>
    <mergeCell ref="B215:C216"/>
    <mergeCell ref="D215:G216"/>
    <mergeCell ref="I215:J216"/>
    <mergeCell ref="K215:N216"/>
    <mergeCell ref="B203:G209"/>
    <mergeCell ref="I203:N209"/>
    <mergeCell ref="B211:C212"/>
    <mergeCell ref="D211:G212"/>
    <mergeCell ref="I211:J212"/>
    <mergeCell ref="K211:N212"/>
    <mergeCell ref="B200:C201"/>
    <mergeCell ref="D200:G201"/>
    <mergeCell ref="I200:J201"/>
    <mergeCell ref="K200:N201"/>
    <mergeCell ref="B202:G202"/>
    <mergeCell ref="I202:N202"/>
    <mergeCell ref="B196:C197"/>
    <mergeCell ref="D196:G197"/>
    <mergeCell ref="I196:J197"/>
    <mergeCell ref="K196:N197"/>
    <mergeCell ref="B198:C199"/>
    <mergeCell ref="D198:G199"/>
    <mergeCell ref="I198:J199"/>
    <mergeCell ref="K198:N199"/>
    <mergeCell ref="B186:G192"/>
    <mergeCell ref="I186:N192"/>
    <mergeCell ref="B194:C195"/>
    <mergeCell ref="D194:G195"/>
    <mergeCell ref="I194:J195"/>
    <mergeCell ref="K194:N195"/>
    <mergeCell ref="B183:C184"/>
    <mergeCell ref="D183:G184"/>
    <mergeCell ref="I183:J184"/>
    <mergeCell ref="K183:N184"/>
    <mergeCell ref="B185:G185"/>
    <mergeCell ref="I185:N185"/>
    <mergeCell ref="B179:C180"/>
    <mergeCell ref="D179:G180"/>
    <mergeCell ref="I179:J180"/>
    <mergeCell ref="K179:N180"/>
    <mergeCell ref="B181:C182"/>
    <mergeCell ref="D181:G182"/>
    <mergeCell ref="I181:J182"/>
    <mergeCell ref="K181:N182"/>
    <mergeCell ref="B169:G175"/>
    <mergeCell ref="I169:N175"/>
    <mergeCell ref="B177:C178"/>
    <mergeCell ref="D177:G178"/>
    <mergeCell ref="I177:J178"/>
    <mergeCell ref="K177:N178"/>
    <mergeCell ref="B166:C167"/>
    <mergeCell ref="D166:G167"/>
    <mergeCell ref="I166:J167"/>
    <mergeCell ref="K166:N167"/>
    <mergeCell ref="B168:G168"/>
    <mergeCell ref="I168:N168"/>
    <mergeCell ref="B162:C163"/>
    <mergeCell ref="D162:G163"/>
    <mergeCell ref="I162:J163"/>
    <mergeCell ref="K162:N163"/>
    <mergeCell ref="B164:C165"/>
    <mergeCell ref="D164:G165"/>
    <mergeCell ref="I164:J165"/>
    <mergeCell ref="K164:N165"/>
    <mergeCell ref="B152:G158"/>
    <mergeCell ref="I152:N158"/>
    <mergeCell ref="B160:C161"/>
    <mergeCell ref="D160:G161"/>
    <mergeCell ref="I160:J161"/>
    <mergeCell ref="K160:N161"/>
    <mergeCell ref="B149:C150"/>
    <mergeCell ref="D149:G150"/>
    <mergeCell ref="I149:J150"/>
    <mergeCell ref="K149:N150"/>
    <mergeCell ref="B151:G151"/>
    <mergeCell ref="I151:N151"/>
    <mergeCell ref="B145:C146"/>
    <mergeCell ref="D145:G146"/>
    <mergeCell ref="I145:J146"/>
    <mergeCell ref="K145:N146"/>
    <mergeCell ref="B147:C148"/>
    <mergeCell ref="D147:G148"/>
    <mergeCell ref="I147:J148"/>
    <mergeCell ref="K147:N148"/>
    <mergeCell ref="B135:G141"/>
    <mergeCell ref="I135:N141"/>
    <mergeCell ref="B143:C144"/>
    <mergeCell ref="D143:G144"/>
    <mergeCell ref="I143:J144"/>
    <mergeCell ref="K143:N144"/>
    <mergeCell ref="B132:C133"/>
    <mergeCell ref="D132:G133"/>
    <mergeCell ref="I132:J133"/>
    <mergeCell ref="K132:N133"/>
    <mergeCell ref="B134:G134"/>
    <mergeCell ref="I134:N134"/>
    <mergeCell ref="B128:C129"/>
    <mergeCell ref="D128:G129"/>
    <mergeCell ref="I128:J129"/>
    <mergeCell ref="K128:N129"/>
    <mergeCell ref="B130:C131"/>
    <mergeCell ref="D130:G131"/>
    <mergeCell ref="I130:J131"/>
    <mergeCell ref="K130:N131"/>
    <mergeCell ref="B118:G124"/>
    <mergeCell ref="I118:N124"/>
    <mergeCell ref="B126:C127"/>
    <mergeCell ref="D126:G127"/>
    <mergeCell ref="I126:J127"/>
    <mergeCell ref="K126:N127"/>
    <mergeCell ref="B115:C116"/>
    <mergeCell ref="D115:G116"/>
    <mergeCell ref="I115:J116"/>
    <mergeCell ref="K115:N116"/>
    <mergeCell ref="B117:G117"/>
    <mergeCell ref="I117:N117"/>
    <mergeCell ref="B111:C112"/>
    <mergeCell ref="D111:G112"/>
    <mergeCell ref="I111:J112"/>
    <mergeCell ref="K111:N112"/>
    <mergeCell ref="B113:C114"/>
    <mergeCell ref="D113:G114"/>
    <mergeCell ref="I113:J114"/>
    <mergeCell ref="K113:N114"/>
    <mergeCell ref="B101:G107"/>
    <mergeCell ref="I101:N107"/>
    <mergeCell ref="B109:C110"/>
    <mergeCell ref="D109:G110"/>
    <mergeCell ref="I109:J110"/>
    <mergeCell ref="K109:N110"/>
    <mergeCell ref="B98:C99"/>
    <mergeCell ref="D98:G99"/>
    <mergeCell ref="I98:J99"/>
    <mergeCell ref="K98:N99"/>
    <mergeCell ref="B100:G100"/>
    <mergeCell ref="I100:N100"/>
    <mergeCell ref="B94:C95"/>
    <mergeCell ref="D94:G95"/>
    <mergeCell ref="I94:J95"/>
    <mergeCell ref="K94:N95"/>
    <mergeCell ref="B96:C97"/>
    <mergeCell ref="D96:G97"/>
    <mergeCell ref="I96:J97"/>
    <mergeCell ref="K96:N97"/>
    <mergeCell ref="B84:G90"/>
    <mergeCell ref="I84:N90"/>
    <mergeCell ref="B92:C93"/>
    <mergeCell ref="D92:G93"/>
    <mergeCell ref="I92:J93"/>
    <mergeCell ref="K92:N93"/>
    <mergeCell ref="B81:C82"/>
    <mergeCell ref="D81:G82"/>
    <mergeCell ref="I81:J82"/>
    <mergeCell ref="K81:N82"/>
    <mergeCell ref="B83:G83"/>
    <mergeCell ref="I83:N83"/>
    <mergeCell ref="B77:C78"/>
    <mergeCell ref="D77:G78"/>
    <mergeCell ref="I77:J78"/>
    <mergeCell ref="K77:N78"/>
    <mergeCell ref="B79:C80"/>
    <mergeCell ref="D79:G80"/>
    <mergeCell ref="I79:J80"/>
    <mergeCell ref="K79:N80"/>
    <mergeCell ref="B67:G73"/>
    <mergeCell ref="I67:N73"/>
    <mergeCell ref="B75:C76"/>
    <mergeCell ref="D75:G76"/>
    <mergeCell ref="I75:J76"/>
    <mergeCell ref="K75:N76"/>
    <mergeCell ref="B64:C65"/>
    <mergeCell ref="D64:G65"/>
    <mergeCell ref="I64:J65"/>
    <mergeCell ref="K64:N65"/>
    <mergeCell ref="B66:G66"/>
    <mergeCell ref="I66:N66"/>
    <mergeCell ref="B60:C61"/>
    <mergeCell ref="D60:G61"/>
    <mergeCell ref="I60:J61"/>
    <mergeCell ref="K60:N61"/>
    <mergeCell ref="B62:C63"/>
    <mergeCell ref="D62:G63"/>
    <mergeCell ref="I62:J63"/>
    <mergeCell ref="K62:N63"/>
    <mergeCell ref="B50:G56"/>
    <mergeCell ref="I50:N56"/>
    <mergeCell ref="B58:C59"/>
    <mergeCell ref="D58:G59"/>
    <mergeCell ref="I58:J59"/>
    <mergeCell ref="K58:N59"/>
    <mergeCell ref="B47:C48"/>
    <mergeCell ref="D47:G48"/>
    <mergeCell ref="I47:J48"/>
    <mergeCell ref="K47:N48"/>
    <mergeCell ref="B49:G49"/>
    <mergeCell ref="I49:N49"/>
    <mergeCell ref="B43:C44"/>
    <mergeCell ref="D43:G44"/>
    <mergeCell ref="I43:J44"/>
    <mergeCell ref="K43:N44"/>
    <mergeCell ref="B45:C46"/>
    <mergeCell ref="D45:G46"/>
    <mergeCell ref="I45:J46"/>
    <mergeCell ref="K45:N46"/>
    <mergeCell ref="B33:G39"/>
    <mergeCell ref="I33:N39"/>
    <mergeCell ref="B41:C42"/>
    <mergeCell ref="D41:G42"/>
    <mergeCell ref="I41:J42"/>
    <mergeCell ref="K41:N42"/>
    <mergeCell ref="B30:C31"/>
    <mergeCell ref="D30:G31"/>
    <mergeCell ref="I30:J31"/>
    <mergeCell ref="K30:N31"/>
    <mergeCell ref="B32:G32"/>
    <mergeCell ref="I32:N32"/>
    <mergeCell ref="B26:C27"/>
    <mergeCell ref="D26:G27"/>
    <mergeCell ref="I26:J27"/>
    <mergeCell ref="K26:N27"/>
    <mergeCell ref="B28:C29"/>
    <mergeCell ref="D28:G29"/>
    <mergeCell ref="I28:J29"/>
    <mergeCell ref="K28:N29"/>
    <mergeCell ref="I13:J14"/>
    <mergeCell ref="K13:N14"/>
    <mergeCell ref="I15:N15"/>
    <mergeCell ref="I16:N22"/>
    <mergeCell ref="B24:C25"/>
    <mergeCell ref="D24:G25"/>
    <mergeCell ref="I24:J25"/>
    <mergeCell ref="K24:N25"/>
    <mergeCell ref="B16:G22"/>
    <mergeCell ref="I7:J8"/>
    <mergeCell ref="K7:N8"/>
    <mergeCell ref="I9:J10"/>
    <mergeCell ref="K9:N10"/>
    <mergeCell ref="I11:J12"/>
    <mergeCell ref="K11:N12"/>
    <mergeCell ref="D13:G14"/>
    <mergeCell ref="B13:C14"/>
    <mergeCell ref="B15:G15"/>
    <mergeCell ref="B11:C12"/>
    <mergeCell ref="D11:G12"/>
    <mergeCell ref="B7:C8"/>
    <mergeCell ref="D7:G8"/>
    <mergeCell ref="B9:C10"/>
    <mergeCell ref="D9:G10"/>
  </mergeCells>
  <dataValidations count="1">
    <dataValidation type="list" allowBlank="1" showInputMessage="1" showErrorMessage="1" sqref="Q5" xr:uid="{9CA67DF7-7A17-42FB-B2E7-C64CBE566EDD}">
      <formula1>$S$6:$S$9</formula1>
    </dataValidation>
  </dataValidations>
  <pageMargins left="0.35433070866141736" right="0.23622047244094491" top="0.55118110236220474" bottom="0.39370078740157483" header="0.31496062992125984" footer="0.31496062992125984"/>
  <pageSetup scale="119" orientation="portrait" horizontalDpi="300" verticalDpi="300" r:id="rId1"/>
  <headerFooter>
    <oddFooter>&amp;C&amp;P of &amp;N</oddFooter>
  </headerFooter>
  <rowBreaks count="8" manualBreakCount="8">
    <brk id="56" min="1" max="13" man="1"/>
    <brk id="108" min="1" max="13" man="1"/>
    <brk id="159" min="1" max="13" man="1"/>
    <brk id="210" min="1" max="13" man="1"/>
    <brk id="261" min="1" max="13" man="1"/>
    <brk id="312" min="1" max="13" man="1"/>
    <brk id="363" min="1" max="13" man="1"/>
    <brk id="414" min="1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Sheet1</vt:lpstr>
      <vt:lpstr>Sheet3</vt:lpstr>
      <vt:lpstr>List (2)</vt:lpstr>
      <vt:lpstr>List</vt:lpstr>
      <vt:lpstr>RTV  Longer - Location</vt:lpstr>
      <vt:lpstr>RTV  Longer Template</vt:lpstr>
      <vt:lpstr>ICE Near expiry</vt:lpstr>
      <vt:lpstr>Del Failed Template</vt:lpstr>
      <vt:lpstr>'Del Failed Template'!Print_Area</vt:lpstr>
      <vt:lpstr>List!Print_Area</vt:lpstr>
      <vt:lpstr>'List (2)'!Print_Area</vt:lpstr>
      <vt:lpstr>'RTV  Longer - Location'!Print_Area</vt:lpstr>
      <vt:lpstr>'RTV  Longer Template'!Print_Area</vt:lpstr>
      <vt:lpstr>Sheet1!Print_Area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Jaime HutallaJr (WTCPH - Supervisor, eDC Inventory Control)</dc:creator>
  <cp:keywords/>
  <dc:description/>
  <cp:lastModifiedBy>Myca Balajadia (WTCPH - eDC Inventory Control Assistan</cp:lastModifiedBy>
  <cp:revision/>
  <cp:lastPrinted>2025-12-14T06:25:01Z</cp:lastPrinted>
  <dcterms:created xsi:type="dcterms:W3CDTF">2025-11-29T15:56:28Z</dcterms:created>
  <dcterms:modified xsi:type="dcterms:W3CDTF">2025-12-14T06:29:22Z</dcterms:modified>
  <cp:category/>
  <cp:contentStatus/>
</cp:coreProperties>
</file>